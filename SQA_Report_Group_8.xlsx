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7575" activeTab="2"/>
  </bookViews>
  <sheets>
    <sheet name="SQA Report_Nhóm 8" sheetId="1" r:id="rId1"/>
    <sheet name="Review" sheetId="2" r:id="rId2"/>
    <sheet name="Dương Tất Trường" sheetId="3" r:id="rId3"/>
    <sheet name="Phạm Anh Tú" sheetId="4" r:id="rId4"/>
    <sheet name="Phạm Tuấn Minh"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HungVQ</author>
    <author>Le Thi Thuy</author>
    <author>ThuyLT</author>
    <author>tamptt</author>
  </authors>
  <commentList>
    <comment ref="A39" authorId="0">
      <text>
        <r>
          <rPr>
            <sz val="11"/>
            <color rgb="FF000000"/>
            <rFont val="Calibri"/>
            <scheme val="minor"/>
            <charset val="0"/>
          </rPr>
          <t>Trangpt:
Phân nhóm theo từng phân hệ</t>
        </r>
      </text>
    </comment>
    <comment ref="A49" authorId="1">
      <text>
        <r>
          <rPr>
            <sz val="11"/>
            <color rgb="FF000000"/>
            <rFont val="Calibri"/>
            <scheme val="minor"/>
            <charset val="0"/>
          </rPr>
          <t>Trangpt:
Không có yêu cầu nào mâu thuẫn với 1 yêu cầu khác</t>
        </r>
      </text>
    </comment>
    <comment ref="A57" authorId="2">
      <text>
        <r>
          <rPr>
            <sz val="11"/>
            <color rgb="FF000000"/>
            <rFont val="Calibri"/>
            <scheme val="minor"/>
            <charset val="0"/>
          </rPr>
          <t>Trangpt:
Nếu có yêu cầu nào không thuộc phạm vi dự án thì liệt kê chi tiết vào cột "Ghi chú"</t>
        </r>
      </text>
    </comment>
    <comment ref="A58" authorId="2">
      <text>
        <r>
          <rPr>
            <sz val="11"/>
            <color rgb="FF000000"/>
            <rFont val="Calibri"/>
            <scheme val="minor"/>
            <charset val="0"/>
          </rPr>
          <t>Trangpt:
Nếu có yêu cầu nào không thực sự là yêu cầu mà là đề xuất thiết kế hoặc giải pháp thực hiện thì liệt kê chi tiết vào cột "Ghi chú"</t>
        </r>
      </text>
    </comment>
    <comment ref="A63" authorId="0">
      <text>
        <r>
          <rPr>
            <sz val="11"/>
            <color rgb="FF000000"/>
            <rFont val="Calibri"/>
            <scheme val="minor"/>
            <charset val="0"/>
          </rPr>
          <t>Trangpt:
Dùng cho các trường hợp phân tích bằng UC, các trường hợp khác có thể bỏ qua</t>
        </r>
      </text>
    </comment>
    <comment ref="A67" authorId="3">
      <text>
        <r>
          <rPr>
            <sz val="11"/>
            <color rgb="FF000000"/>
            <rFont val="Calibri"/>
            <scheme val="minor"/>
            <charset val="0"/>
          </rPr>
          <t>Trangpt:
tamptt:
Note: Các yêu cầu này nếu đã được đề cập đầy đủ trong URD thì  không bắt buộc phải ghi nhận trong SRS; nếu có ghi nhận thì chỉ cần ghi nhận tham chiếu, hoặc nhấn mạnh (focus) vào các yêu cầu nào thực sự cần thiết đối với các yêu cầu chức năng phần mềm trong SRS là đủ. 
Riêng trường hợp nếu tài liệu SRS là tài liệu cơ sở để nghiệm thu hệ thống (mà không phải tài liệu URD) thì bắt buộc phải ghi nhận các yêu cầu phi chức năng này</t>
        </r>
      </text>
    </comment>
    <comment ref="A125" authorId="1">
      <text>
        <r>
          <rPr>
            <sz val="11"/>
            <color rgb="FF000000"/>
            <rFont val="Calibri"/>
            <scheme val="minor"/>
            <charset val="0"/>
          </rPr>
          <t>Trangpt:
Mỗi file source đều phải bắt đầu với tiêu đề thích hợp và thông tin bản quyền, phải có ghi chú mô rả chức năng được cung cấp bởi file này</t>
        </r>
      </text>
    </comment>
    <comment ref="A126" authorId="1">
      <text>
        <r>
          <rPr>
            <sz val="11"/>
            <color rgb="FF000000"/>
            <rFont val="Calibri"/>
            <scheme val="minor"/>
            <charset val="0"/>
          </rPr>
          <t>Trangpt:
Các ghi chú được dùng để mô tả các khía cạnh khác của biến mà tên nó không diễn đạt hết. Mỗi biến tổng thể phải được nêu rõ mục đích và lý do cần thiết của nó.</t>
        </r>
      </text>
    </comment>
    <comment ref="A127" authorId="1">
      <text>
        <r>
          <rPr>
            <sz val="11"/>
            <color rgb="FF000000"/>
            <rFont val="Calibri"/>
            <scheme val="minor"/>
            <charset val="0"/>
          </rPr>
          <t>Trangpt:
Ghi chú cho các thành phần dữ liệu dạng số, ví dụ số đo độ dài, phải ghi rõ theo inc hay cm, ...</t>
        </r>
      </text>
    </comment>
    <comment ref="A128" authorId="1">
      <text>
        <r>
          <rPr>
            <sz val="11"/>
            <color rgb="FF000000"/>
            <rFont val="Calibri"/>
            <scheme val="minor"/>
            <charset val="0"/>
          </rPr>
          <t>Trangpt:
Mô tả mỗi routine, method và class vào đầu các khai báo của chúng</t>
        </r>
      </text>
    </comment>
    <comment ref="A129" authorId="1">
      <text>
        <r>
          <rPr>
            <sz val="11"/>
            <color rgb="FF000000"/>
            <rFont val="Calibri"/>
            <scheme val="minor"/>
            <charset val="0"/>
          </rPr>
          <t>Trangpt:
Các thuật toán phức tạp và tối ưu code phải được ghi chú đầy đủ để các LTV khác có thể hiểu và sử dụng được</t>
        </r>
      </text>
    </comment>
    <comment ref="A130" authorId="1">
      <text>
        <r>
          <rPr>
            <sz val="11"/>
            <color rgb="FF000000"/>
            <rFont val="Calibri"/>
            <scheme val="minor"/>
            <charset val="0"/>
          </rPr>
          <t>Trangpt:
Phải giải thích về các đoạn code được đánh dấu hủy. Những đoạn nào bỏ hẳn thì phải xóa đi, còn nếu tạm thời bỏ ra thì phải có giải thích</t>
        </r>
      </text>
    </comment>
    <comment ref="A136" authorId="1">
      <text>
        <r>
          <rPr>
            <sz val="11"/>
            <color rgb="FF000000"/>
            <rFont val="Calibri"/>
            <scheme val="minor"/>
            <charset val="0"/>
          </rPr>
          <t>Trangpt:
Lỗi phải được phát hiện và xử lý nếu nó ảnh hưởng tới việc thực hiện phần còn lại của đoạn code</t>
        </r>
      </text>
    </comment>
    <comment ref="A137" authorId="1">
      <text>
        <r>
          <rPr>
            <sz val="11"/>
            <color rgb="FF000000"/>
            <rFont val="Calibri"/>
            <scheme val="minor"/>
            <charset val="0"/>
          </rPr>
          <t>Trangpt:
Nếu source code sử dụng routine trong đó có các trường hợp ngoại lệ, phải có một function trong call stack để bắt và xử lý được nó</t>
        </r>
      </text>
    </comment>
    <comment ref="A138" authorId="1">
      <text>
        <r>
          <rPr>
            <sz val="11"/>
            <color rgb="FF000000"/>
            <rFont val="Calibri"/>
            <scheme val="minor"/>
            <charset val="0"/>
          </rPr>
          <t>Trangpt:
Phải có thông báo cho các lời gọi hàm nếu có lỗi xảy ra để xử lý tại điểm gọi hàm.</t>
        </r>
      </text>
    </comment>
    <comment ref="A140" authorId="1">
      <text>
        <r>
          <rPr>
            <sz val="11"/>
            <color rgb="FF000000"/>
            <rFont val="Calibri"/>
            <scheme val="minor"/>
            <charset val="0"/>
          </rPr>
          <t>Trangpt:
Tất cả các phần bộ nhớ được cấp phát phải được giải phóng khi không cần nữa. Đảm bảo rằng bộ nhớ phải được giải phóng trong toàn bộ các nhánh của code, đặc biệt trong các nhánh xử lý lỗi</t>
        </r>
      </text>
    </comment>
    <comment ref="A142" authorId="1">
      <text>
        <r>
          <rPr>
            <sz val="11"/>
            <color rgb="FF000000"/>
            <rFont val="Calibri"/>
            <scheme val="minor"/>
            <charset val="0"/>
          </rPr>
          <t>Trangpt:
Đảm bảo không có nhánh code nào mà một object bị giải phóng &gt; 1 lần. Kiểm tra nhánh code lỗi</t>
        </r>
      </text>
    </comment>
    <comment ref="A144" authorId="1">
      <text>
        <r>
          <rPr>
            <sz val="11"/>
            <color rgb="FF000000"/>
            <rFont val="Calibri"/>
            <scheme val="minor"/>
            <charset val="0"/>
          </rPr>
          <t>Trangpt:
Nếu một biến được nhiều thread sử dụng, việc thay đổi giá trị của biến phải được đồng bộ để đảm bảo tại một thời điểm chỉ có một thread có thể thay đổi giá trị của biến.</t>
        </r>
      </text>
    </comment>
    <comment ref="A145" authorId="1">
      <text>
        <r>
          <rPr>
            <sz val="11"/>
            <color rgb="FF000000"/>
            <rFont val="Calibri"/>
            <scheme val="minor"/>
            <charset val="0"/>
          </rPr>
          <t>Trangpt:
Nếu một đối tượng được nhiều thread sử dụng, việc thay đổi thuộc tính của đối tượng phải được đồng bộ để đảm bảo tại một thời điểm chỉ có một thread có thể thay đổi thuộc tính của đối tượng.</t>
        </r>
      </text>
    </comment>
    <comment ref="A146" authorId="1">
      <text>
        <r>
          <rPr>
            <sz val="11"/>
            <color rgb="FF000000"/>
            <rFont val="Calibri"/>
            <scheme val="minor"/>
            <charset val="0"/>
          </rPr>
          <t>Trangpt:
Phải giải phóng các lock theo đúng thứ tự để tránh tình trạng deadlock. Kiểm tra các nhánh code lỗi</t>
        </r>
      </text>
    </comment>
    <comment ref="A147" authorId="1">
      <text>
        <r>
          <rPr>
            <sz val="11"/>
            <color rgb="FF000000"/>
            <rFont val="Calibri"/>
            <scheme val="minor"/>
            <charset val="0"/>
          </rPr>
          <t>Trangpt:
Đảm bảo rằng không có khả năng xảy ra tình trạng một tập các lock (mutex, semaphores, ...) với các thứ tự khác nhau. VD nếu Thread A yêu cầu Lock #1 rồi sau đó tới Lock #2 thì Thread B không thể yêu cầu Lock #2 rồi sau đó tới Lock #1</t>
        </r>
      </text>
    </comment>
    <comment ref="A149" authorId="1">
      <text>
        <r>
          <rPr>
            <sz val="11"/>
            <color rgb="FF000000"/>
            <rFont val="Calibri"/>
            <scheme val="minor"/>
            <charset val="0"/>
          </rPr>
          <t>Trangpt:
Kiểm tra các vòng lặp để đảm bảo chúng lặp đúng số lần. Kiểm tra điều kiện kết thúc các vòng lặp, đảm bảo chúng sẽ dừng sau khi lặp đủ số lần</t>
        </r>
      </text>
    </comment>
    <comment ref="A150" authorId="1">
      <text>
        <r>
          <rPr>
            <sz val="11"/>
            <color rgb="FF000000"/>
            <rFont val="Calibri"/>
            <scheme val="minor"/>
            <charset val="0"/>
          </rPr>
          <t>Trangpt:
Kiểm tra các nhánh code có thể gây lặp vô hạn. Đảm bảo các điều kiện kết thúc sẽ xảy ra trừ phi có điều kiện khác</t>
        </r>
      </text>
    </comment>
    <comment ref="A153" authorId="1">
      <text>
        <r>
          <rPr>
            <sz val="11"/>
            <color rgb="FF000000"/>
            <rFont val="Calibri"/>
            <scheme val="minor"/>
            <charset val="0"/>
          </rPr>
          <t>Trangpt:
Xảy ra khi các object được truyền bởi giá trị khi chỉ cần tham chiếu đến, cũng s/d đối với các thuật toán copy nhiều bộ nhớ. Nên cân nhắc s/d thuật toán sao cho có thể tối thiểu các object lặp, giảm thiểu dữ liệu phải truyền qua bộ nhớ</t>
        </r>
      </text>
    </comment>
    <comment ref="A154" authorId="1">
      <text>
        <r>
          <rPr>
            <sz val="11"/>
            <color rgb="FF000000"/>
            <rFont val="Calibri"/>
            <scheme val="minor"/>
            <charset val="0"/>
          </rPr>
          <t>Trangpt:
Có thể tối ưu nó không? VD nếu s/d cấu trúc dữ liệu với các số lớn, có thể giảm cấu trúc của nó</t>
        </r>
      </text>
    </comment>
    <comment ref="A157" authorId="1">
      <text>
        <r>
          <rPr>
            <sz val="11"/>
            <color rgb="FF000000"/>
            <rFont val="Calibri"/>
            <scheme val="minor"/>
            <charset val="0"/>
          </rPr>
          <t>Trangpt:
Phải kiểm soát được toàn bộ phạm vi của các giá trị truyền vào, các giá trị lớn nhất, nhỏ nhất có thể. Các tham chiếu đến hàm phải được kiểm tra giá trị null, các lỗi hoặc ngoại lệ có thể xảy ra nếu biến không hợp lệ</t>
        </r>
      </text>
    </comment>
    <comment ref="A158" authorId="1">
      <text>
        <r>
          <rPr>
            <sz val="11"/>
            <color rgb="FF000000"/>
            <rFont val="Calibri"/>
            <scheme val="minor"/>
            <charset val="0"/>
          </rPr>
          <t>Trangpt:
Phải có thông báo lỗi nếu xảy ra trường hợp ngoài khoảng</t>
        </r>
      </text>
    </comment>
  </commentList>
</comments>
</file>

<file path=xl/sharedStrings.xml><?xml version="1.0" encoding="utf-8"?>
<sst xmlns="http://schemas.openxmlformats.org/spreadsheetml/2006/main" count="1225" uniqueCount="793">
  <si>
    <t>BÁO CÁO BÀI TẬP DỰ ÁN NHÓM MÔN ĐẢM BẢO CHẤT LƯỢNG PHẦN MỀM</t>
  </si>
  <si>
    <t>I.</t>
  </si>
  <si>
    <t>Giới thiệu hệ thống</t>
  </si>
  <si>
    <t>**Giới thiệu hệ thống Django Ecommerce**
- Hệ thống *Django Ecommerce* là một ứng dụng web thương mại điện tử được phát triển sử dụng framework Django (Python), nhằm mô phỏng đầy đủ quy trình mua bán trực tuyến từ phía người dùng đến quản trị viên. Hệ thống cho phép người dùng duyệt sản phẩm, thêm vào giỏ hàng, thực hiện thanh toán và quản lý đơn hàng một cách thuận tiện.
- Về phía quản trị, hệ thống cung cấp giao diện quản lý (Django Admin) giúp quản lý sản phẩm, danh mục, người dùng và đơn hàng. Ngoài ra, hệ thống còn tích hợp các chức năng nâng cao như xác thực người dùng, xử lý thanh toán (Stripe), và quản lý hồ sơ người dùng.
- Trong quá trình kiểm thử, nhóm tập trung đánh giá các chức năng chính như:
* Đăng ký và đăng nhập người dùng
* Hiển thị và quản lý sản phẩm
* Thêm/xóa sản phẩm trong giỏ hàng
* Quy trình đặt hàng và thanh toán
* Phân quyền và truy cập hệ thống quản trị
- Mục tiêu của hoạt động kiểm thử là đảm bảo hệ thống hoạt động đúng yêu cầu, ổn định và thân thiện với người dùng, đồng thời phát hiện và báo cáo các lỗi nhằm nâng cao chất lượng phần mềm trước khi triển khai thực tế.</t>
  </si>
  <si>
    <t>- Mã nguồn hệ thống:</t>
  </si>
  <si>
    <t>https://github.com/B24DTCN498DUONGTATTRUONG/django-ecommerce-sqa</t>
  </si>
  <si>
    <t xml:space="preserve">− Frontend: </t>
  </si>
  <si>
    <t>Django Template (HTML, CSS, JS)</t>
  </si>
  <si>
    <t xml:space="preserve">− Backend (Django (Python)): </t>
  </si>
  <si>
    <t>Framework: Django (Ngôn ngữ: Python)</t>
  </si>
  <si>
    <t xml:space="preserve">- Link hệ thống: (chạy local)
</t>
  </si>
  <si>
    <t>http://127.0.0.1:8000</t>
  </si>
  <si>
    <t>II.</t>
  </si>
  <si>
    <t>Công nghệ sử dụng</t>
  </si>
  <si>
    <t>1.</t>
  </si>
  <si>
    <t>Tổng quan</t>
  </si>
  <si>
    <t>Hệ thống được xây dựng theo mô hình Web Application (Client – Server), trong đó sử dụng framework Django để phát triển toàn bộ backend và render frontend.</t>
  </si>
  <si>
    <t>2.</t>
  </si>
  <si>
    <t>Backend</t>
  </si>
  <si>
    <t xml:space="preserve">- Ngôn ngữ lập trình: </t>
  </si>
  <si>
    <t>Python</t>
  </si>
  <si>
    <t>- Framework:</t>
  </si>
  <si>
    <t>Django</t>
  </si>
  <si>
    <t>- Kiến trúc:</t>
  </si>
  <si>
    <t>MVT (Model – View – Template)</t>
  </si>
  <si>
    <t>- Chức năng:</t>
  </si>
  <si>
    <t>Xử lý logic nghiệp vụ (Product, Cart, Order)</t>
  </si>
  <si>
    <t>Xác thực người dùng (Authentication)</t>
  </si>
  <si>
    <t>Kết nối và thao tác với cơ sở dữ liệu</t>
  </si>
  <si>
    <t>Xử lý request/response HTTP</t>
  </si>
  <si>
    <t>3.</t>
  </si>
  <si>
    <t>Frontend</t>
  </si>
  <si>
    <t>- Công nghệ:</t>
  </si>
  <si>
    <t>HTML (Django Template)</t>
  </si>
  <si>
    <t>CSS</t>
  </si>
  <si>
    <t>JavaScript (cơ bản)</t>
  </si>
  <si>
    <t>- Đặc điểm:</t>
  </si>
  <si>
    <t>Sử dụng Django Template Engine để render dữ liệu từ backend</t>
  </si>
  <si>
    <t>Giao diện hiển thị sản phẩm, giỏ hàng, thanh toán</t>
  </si>
  <si>
    <t>Tương tác người dùng (click, form submit)</t>
  </si>
  <si>
    <t>4.</t>
  </si>
  <si>
    <t>Cơ sở dữ liệu (Database)</t>
  </si>
  <si>
    <t>- Hệ quản trị:</t>
  </si>
  <si>
    <t>SQLite (mặc định của Django)</t>
  </si>
  <si>
    <t>Lưu trữ thông tin người dùng</t>
  </si>
  <si>
    <t>Lưu trữ sản phẩm (Product)</t>
  </si>
  <si>
    <t>Lưu trữ giỏ hàng (Cart)</t>
  </si>
  <si>
    <t>Lưu trữ đơn hàng (Order)</t>
  </si>
  <si>
    <t>5.</t>
  </si>
  <si>
    <t>Công cụ hỗ trợ phát triển</t>
  </si>
  <si>
    <t>- Trình quản lý mã nguồn:</t>
  </si>
  <si>
    <t>Git &amp; GitHub</t>
  </si>
  <si>
    <t>- Môi trường phát triển:</t>
  </si>
  <si>
    <t>Visual Studio Code / PyCharm</t>
  </si>
  <si>
    <t>- Trình duyệt test:</t>
  </si>
  <si>
    <t>Google Chrome</t>
  </si>
  <si>
    <t>6.</t>
  </si>
  <si>
    <t>Thư viện và module chính</t>
  </si>
  <si>
    <t>Django ORM:</t>
  </si>
  <si>
    <t xml:space="preserve"> thao tác database</t>
  </si>
  <si>
    <t xml:space="preserve">Django Authentication: </t>
  </si>
  <si>
    <t>đăng nhập/đăng ký</t>
  </si>
  <si>
    <t xml:space="preserve">Django Admin: </t>
  </si>
  <si>
    <t>quản lý dữ liệu hệ thống</t>
  </si>
  <si>
    <t>7.</t>
  </si>
  <si>
    <t>Môi trường chạy hệ thống</t>
  </si>
  <si>
    <t>Chạy local:</t>
  </si>
  <si>
    <t>URL: http://127.0.0.1:8000</t>
  </si>
  <si>
    <t>Server:</t>
  </si>
  <si>
    <t>Django Development Server (runserver)</t>
  </si>
  <si>
    <t>III.</t>
  </si>
  <si>
    <t>Các chức năng chính của hệ thống</t>
  </si>
  <si>
    <t>Quản lý người dùng (User Authentication)</t>
  </si>
  <si>
    <t>Quản lý sản phẩm (Product Management)</t>
  </si>
  <si>
    <t>Giỏ hàng (Cart Management)</t>
  </si>
  <si>
    <t>Đặt hàng (Order/Checkout)</t>
  </si>
  <si>
    <t>Quản lý đơn hàng (Order Management)</t>
  </si>
  <si>
    <t>Trang quản trị (Admin Panel)</t>
  </si>
  <si>
    <t>Tìm kiếm và điều hướng (Search &amp; Navigation)</t>
  </si>
  <si>
    <t>IV.</t>
  </si>
  <si>
    <t>Hiện trạng đảm bảo chất lượng phần mềm</t>
  </si>
  <si>
    <t>Hệ thống đã được thực hiện các hoạt động kiểm thử và xây dựng tài liệu kiểm thử chi tiết cho các chức năng chính, cụ thể như sau:</t>
  </si>
  <si>
    <t>− Đã xây dựng tài liệu đặc tả yêu cầu phần mềm (SRS) và checklist phục vụ cho hoạt động review SRS.</t>
  </si>
  <si>
    <t>−  Đã thiết kế và xây dựng bộ test case chi tiết cho các chức năng chính của hệ thống (Product, Cart, Order, Authentication,…).</t>
  </si>
  <si>
    <t>STT</t>
  </si>
  <si>
    <t>Tên chức năng</t>
  </si>
  <si>
    <t>Mô tả</t>
  </si>
  <si>
    <t>Thành viên thực hiện</t>
  </si>
  <si>
    <t>Authentication + Test Plan (Leader)</t>
  </si>
  <si>
    <t>Phần hệ thống:
Đăng ký 
Đăng nhập 
Đăng xuất</t>
  </si>
  <si>
    <t>Phạm Tuấn Minh - K24DTCN608</t>
  </si>
  <si>
    <t>Product + Cart</t>
  </si>
  <si>
    <t>Phần hệ thống:
Xem sản phẩm 
Thêm vào giỏ hàng 
Cập nhật số lượng</t>
  </si>
  <si>
    <t>Dương Tất Trường - B24DTCN498</t>
  </si>
  <si>
    <t>Order + UI Testing + Report</t>
  </si>
  <si>
    <t>- Phần hệ thống
Checkout 
Đặt hàng
- Testing, Test: 
Checkout flow 
Không login → redirect 
Thanh toán giả lập
- UI Testing, Kiểm tra: 
Form 
Button 
Layout
- Report, Tổng hợp: 
Test result 
Bug report 
Screenshot</t>
  </si>
  <si>
    <t>Phạm Anh Tú - K24DTCN629</t>
  </si>
  <si>
    <t>V.</t>
  </si>
  <si>
    <t xml:space="preserve"> Kết quả kiểm thử</t>
  </si>
  <si>
    <t>Số trường hợp kiểm thử đạt (P)</t>
  </si>
  <si>
    <t>Số trường hợp kiểm thử không đạt (F)</t>
  </si>
  <si>
    <t>Số trường hợp kiểm thử đang xem xét (PE)</t>
  </si>
  <si>
    <t>Số trường hợp kiểm thử chưa thực hiện</t>
  </si>
  <si>
    <t>Tổng số trường hợp kiểm thử</t>
  </si>
  <si>
    <t>Tỉ lệ trường hợp kiểm thử đạt (%P)</t>
  </si>
  <si>
    <t>Tỉ lệ trường hợp kiểm thử không đạt (%F)</t>
  </si>
  <si>
    <t>Người thực hiện</t>
  </si>
  <si>
    <t>SRS Review Checklist</t>
  </si>
  <si>
    <t>Mã dự án</t>
  </si>
  <si>
    <t>ECOM-001</t>
  </si>
  <si>
    <t>Phiên bản sản phẩm</t>
  </si>
  <si>
    <t>1.0</t>
  </si>
  <si>
    <t>Phân hệ / Module</t>
  </si>
  <si>
    <t>Đánh giá tài liệu SRS/RTM/Code review/Test evidence</t>
  </si>
  <si>
    <t>Lần xem xét</t>
  </si>
  <si>
    <t>1</t>
  </si>
  <si>
    <t>Người xem xét</t>
  </si>
  <si>
    <t>Nhóm 8</t>
  </si>
  <si>
    <t>Ngày xem xét</t>
  </si>
  <si>
    <t>13/04/2026</t>
  </si>
  <si>
    <t>Độ lớn sản phẩm</t>
  </si>
  <si>
    <t>docs/SQA_TAI_LIEU_TONG_HOP_NHOM_8_formatted.docx</t>
  </si>
  <si>
    <t>Nguồn lực dành cho xem xét (MH)</t>
  </si>
  <si>
    <t>Hướng dẫn: Trong quá trình review nếu câu trả lời là "có" nhưng chưa thực sự đầy đủ thì đánh dấu vào cột "Có" và chú thích cụ thể vào cột "Ghi chú"</t>
  </si>
  <si>
    <t>Câu hỏi</t>
  </si>
  <si>
    <t>Có</t>
  </si>
  <si>
    <t>Không</t>
  </si>
  <si>
    <t>N/A</t>
  </si>
  <si>
    <t>Ghi chú</t>
  </si>
  <si>
    <t>Điều kiện</t>
  </si>
  <si>
    <t>Kiểm soát tài liệu</t>
  </si>
  <si>
    <t>Tài liệu có tuân thủ theo yêu cầu kiểm soát tài liệu không:</t>
  </si>
  <si>
    <t>P</t>
  </si>
  <si>
    <t>Bắt buộc</t>
  </si>
  <si>
    <t>Mẫu tài liệu có phải là mẫu mới nhất không?</t>
  </si>
  <si>
    <t>Trang tiêu đề có bao gồm đủ tên tài liệu, phiên bản, tên công ty và logo, mã dự án, mã hiệu tài liệu và thời gian ban hành không?</t>
  </si>
  <si>
    <t>Trang tiêu đề có mã và phiên bản nhưng thiếu thông tin công ty, logo theo mẫu đầy đủ.</t>
  </si>
  <si>
    <t>Đầu và cuối trang có bao gồm tên, phiên bản của tài liệu, Mã hiệu của template không?</t>
  </si>
  <si>
    <t>Bản Word chưa thiết lập header/footer chuẩn hóa cho từng trang.</t>
  </si>
  <si>
    <t>Đánh số trang có theo đúng qui định: số thứ tự/tổng số trang?</t>
  </si>
  <si>
    <t>Trang ký có bao gồm đủ Người xem xét &amp; Người phê duyệt không?</t>
  </si>
  <si>
    <t>Chưa có trang ký với đủ người xem xét và phê duyệt.</t>
  </si>
  <si>
    <t xml:space="preserve">Có bảng theo dõi lịch sử thay đổi không? </t>
  </si>
  <si>
    <t>Có bảng lịch sử thay đổi trong phần SRS chi tiết.</t>
  </si>
  <si>
    <t>Đối với trường hợp phiên bản tài liệu &gt; v1.0:</t>
  </si>
  <si>
    <t>N/A: Phiên bản hiện tại là v1.0 nên điều kiện lớn hơn v1.0 chưa áp dụng.</t>
  </si>
  <si>
    <t>Các nội dung ghi nhận trong Bảng ghi nhận thay đổi này có đầy đủ và đúng không?</t>
  </si>
  <si>
    <t>N/A: Chưa phát sinh bản cập nhật sau v1.0 để đối chiếu chi tiết thay đổi.</t>
  </si>
  <si>
    <t>Giới thiệu chung</t>
  </si>
  <si>
    <t>Có nêu rõ mục đích của tài liệu không?</t>
  </si>
  <si>
    <t>Tài liệu nêu rõ mục đích phục vụ thiết kế, kiểm thử và đánh giá SQA.</t>
  </si>
  <si>
    <t>Phạm vi hệ thống có được mô tả rõ ràng không?</t>
  </si>
  <si>
    <t>Đã mô tả phạm vi trong và ngoài phạm vi hệ thống.</t>
  </si>
  <si>
    <t>Các khái niệm và thuật ngữ có được định nghĩa đầy đủ không?</t>
  </si>
  <si>
    <t>Có bảng thuật ngữ và định nghĩa các từ viết tắt chính.</t>
  </si>
  <si>
    <t xml:space="preserve">Có liệt kê các tài liệu tham khảo không? </t>
  </si>
  <si>
    <t>Có danh sách tài liệu tham khảo.</t>
  </si>
  <si>
    <t>Nếu có, mỗi tài liệu có bao gồm các thông tin sau không?</t>
  </si>
  <si>
    <t>Tên tài liệu</t>
  </si>
  <si>
    <t>Tên tài liệu tham khảo được ghi rõ.</t>
  </si>
  <si>
    <t>Ngày phát hành</t>
  </si>
  <si>
    <t>Có ngày phát hành/cập nhật cho các tài liệu.</t>
  </si>
  <si>
    <t>Nguồn</t>
  </si>
  <si>
    <t>Có nguồn tham chiếu theo đường dẫn file.</t>
  </si>
  <si>
    <t>Có mô tả giới hạn của tài liệu không?</t>
  </si>
  <si>
    <t>Có nêu giới hạn tài liệu và phạm vi áp dụng.</t>
  </si>
  <si>
    <t>Có mô tả tổ chức của tài liệu không?</t>
  </si>
  <si>
    <t>Có mô tả cấu trúc tổ chức tài liệu.</t>
  </si>
  <si>
    <t>Mô tả tổng thể</t>
  </si>
  <si>
    <t>Có xác định ngữ cảnh và điều kiện sử dụng của hệ thống (scenarios and operational concepts) không?</t>
  </si>
  <si>
    <t>Có mô tả ngữ cảnh sử dụng và điều kiện vận hành.</t>
  </si>
  <si>
    <t>Có liệt kê các chức năng sản phẩm trong tài liệu không?</t>
  </si>
  <si>
    <t>Có liệt kê danh sách chức năng sản phẩm.</t>
  </si>
  <si>
    <t>Các chức năng sản phẩm được liệt kê này:</t>
  </si>
  <si>
    <t>Có được phân nhóm một cách hợp lý?</t>
  </si>
  <si>
    <t>Chức năng được phân nhóm theo nghiệp vụ hợp lý.</t>
  </si>
  <si>
    <t>Có được mô tả một cách chính xác không?</t>
  </si>
  <si>
    <t>Mô tả chức năng phù hợp với hành vi hệ thống hiện tại.</t>
  </si>
  <si>
    <t>Danh sách Nhóm người / Người sử dụng có được đề cập theo các yêu cầu / chức năng này này không?</t>
  </si>
  <si>
    <t>Đã bổ sung nhóm người dùng (khách, user, admin).</t>
  </si>
  <si>
    <t>Vai trò của Nhóm người / Người sử dụng có được ghi nhận không?</t>
  </si>
  <si>
    <t>Vai trò từng nhóm người dùng đã được ghi nhận.</t>
  </si>
  <si>
    <t>Có mô hình / Sơ đồ Tổng thể hệ thống không?</t>
  </si>
  <si>
    <t>Có sơ đồ/luồng tổng thể hệ thống trong tài liệu tổng hợp.</t>
  </si>
  <si>
    <t>Có mô tả đặc điểm người sử dụng không?</t>
  </si>
  <si>
    <t>Có mô tả đặc điểm người sử dụng ở mức đủ dùng cho đánh giá.</t>
  </si>
  <si>
    <t>Có mô tả các ràng buộc đối với hệ thống không?</t>
  </si>
  <si>
    <t>Có nêu ràng buộc công nghệ và môi trường.</t>
  </si>
  <si>
    <t>Có các giả thiết và phụ thuộc không?</t>
  </si>
  <si>
    <t>Có liệt kê giả thiết và phụ thuộc chính.</t>
  </si>
  <si>
    <t>Đặc tả yêu cầu chức năng sản phẩm - Tổng quát</t>
  </si>
  <si>
    <t>Mỗi yêu cầu có được xác định duy nhất và chính xác không?</t>
  </si>
  <si>
    <t>Mỗi yêu cầu đều có mã duy nhất (RF-xx).</t>
  </si>
  <si>
    <t>Các yêu cầu có thống nhất không?</t>
  </si>
  <si>
    <t>Tập yêu cầu nhất quán, chưa thấy xung đột nội dung.</t>
  </si>
  <si>
    <t>Có thứ tự ưu tiên / độ ưu tiên thực hiện cho các yêu cầu không?</t>
  </si>
  <si>
    <t>Bản SRS chi tiết đã có mức ưu tiên cho yêu cầu.</t>
  </si>
  <si>
    <t>Có ghi nhận mã hiệu và tên gọi cho tất cả các yêu cầu không?</t>
  </si>
  <si>
    <t>Có mã hiệu và tên gọi cho từng yêu cầu.</t>
  </si>
  <si>
    <t>Các dẫn chiếu đến các yêu cầu khác trong tài liệu có đúng không?</t>
  </si>
  <si>
    <t>Có liên kết tham chiếu qua RTM đến module và test case.</t>
  </si>
  <si>
    <t>Nếu tài liệu SRS được sử dụng để nghiệm thu hệ thống: Có mô tả tiêu chí nghiệm thu của các chức năng sản phẩm trong tài liệu không?</t>
  </si>
  <si>
    <t>Có tiêu chí nghiệm thu theo yêu cầu ở mức áp dụng được.</t>
  </si>
  <si>
    <t>Các yêu cầu có đầy đủ thông tin cần thiết không?</t>
  </si>
  <si>
    <t>Yêu cầu có thông tin cần thiết để triển khai kiểm thử.</t>
  </si>
  <si>
    <t>Nếu có yêu cầu nào thiếu có được đánh dấu lại không?</t>
  </si>
  <si>
    <t>N/A: Không phát hiện yêu cầu thiếu tại thời điểm review để đánh dấu riêng.</t>
  </si>
  <si>
    <t>Các yêu cầu khác về chất lượng có được mô tả rõ ràng và được số hoá, với những điều chỉnh có thể chấp nhận được không?</t>
  </si>
  <si>
    <t>Có mô tả yêu cầu chất lượng/NFR và chỉ số mục tiêu cơ bản.</t>
  </si>
  <si>
    <t>Các yêu cầu có nằm trong phạm vi dự án không?</t>
  </si>
  <si>
    <t>Yêu cầu nằm trong phạm vi dự án học phần.</t>
  </si>
  <si>
    <t>Các yêu cầu có thực sự là yêu cầu mà không phải là đề xuất thiết kế hoặc giải pháp thực hiện không?</t>
  </si>
  <si>
    <t>Phần lớn nội dung ở mức yêu cầu, chưa đi sâu giải pháp chi tiết.</t>
  </si>
  <si>
    <t>Hành động cần làm trong những trường hợp có lỗi (nếu có) có được mô tả không?</t>
  </si>
  <si>
    <t>Có mô tả hành động xử lý lỗi trong các luồng chính.</t>
  </si>
  <si>
    <t>Đặc tả yêu cầu chức năng sản phẩm - Chi tiết</t>
  </si>
  <si>
    <t>Các yêu cầu có cung cấp đủ cơ sở cho thiết kế không?</t>
  </si>
  <si>
    <t>Yêu cầu cung cấp đủ cơ sở cho thiết kế mức hệ thống.</t>
  </si>
  <si>
    <t>Có thể thực hiện được tất cả các yêu cầu với các ràng buộc đã ghi nhận không?</t>
  </si>
  <si>
    <t>Các yêu cầu khả thi với stack Django + Stripe hiện tại.</t>
  </si>
  <si>
    <t>Có xác định các thuật toán của use case không?</t>
  </si>
  <si>
    <t>Chưa mô tả thuật toán use case ở mức chi tiết từng bước.</t>
  </si>
  <si>
    <t>Mỗi yêu cầu đều có thể kiểm tra được bằng 1 trong các biện pháp sau: test, demonstration, review hoặc phân tích không?</t>
  </si>
  <si>
    <t>Mỗi yêu cầu có thể kiểm tra bằng test/review thông qua RTM.</t>
  </si>
  <si>
    <t>Các thông báo lỗi cần thiết đều duy nhất và rõ nghĩa?</t>
  </si>
  <si>
    <t>Thông báo lỗi được mô tả đủ rõ nghĩa cho người dùng.</t>
  </si>
  <si>
    <t>Mỗi yêu cầu chức năng phần mềm có tương ứng với 1 yêu cầu ở mức cao hơn không? (ví dụ: mức cao hơn có thể là yêu cầu của hệ thống hoặc use case không?)</t>
  </si>
  <si>
    <t>Có quan hệ từ yêu cầu chức năng đến mục tiêu cấp cao hơn.</t>
  </si>
  <si>
    <t>Các yêu cầu phi chức năng, các yêu cầu đặc biệt của người dùng</t>
  </si>
  <si>
    <t>Các yêu cầu về bảo mật và an toàn có được xác định không?</t>
  </si>
  <si>
    <t>Yêu cầu bảo mật/an toàn đã được xác định.</t>
  </si>
  <si>
    <t xml:space="preserve">Bắt buộc
</t>
  </si>
  <si>
    <t>Loại bảo mật nào được yêu cầu?</t>
  </si>
  <si>
    <t>Tich ghi chu: loai bao mat duoc xac dinh gom CSRF, session auth, env secrets, allauth.</t>
  </si>
  <si>
    <t>Có xác định các yêu cầu về sao lưu dữ liệu không?</t>
  </si>
  <si>
    <t>Đã bổ sung yêu cầu sao lưu dữ liệu ở mức tối thiểu.</t>
  </si>
  <si>
    <t>Có xác định các yêu cầu về tính sử dụng (usability) của hệ thống không?</t>
  </si>
  <si>
    <t>Có yêu cầu về tính sử dụng (usability).</t>
  </si>
  <si>
    <t>Có xác định các yêu cầu về tính ổn định (stability) của hệ thống không?</t>
  </si>
  <si>
    <t>Có yêu cầu về tính ổn định hệ thống.</t>
  </si>
  <si>
    <t>Các yêu cầu về performance (hiệu năng) có được xác định không?</t>
  </si>
  <si>
    <t>Có yêu cầu hiệu năng mức cơ bản.</t>
  </si>
  <si>
    <t>Lưu lượng giao dịch và qui mô của dữ liệu có được chỉ rõ trong tài liệu không?</t>
  </si>
  <si>
    <t>Chưa định lượng đầy đủ lưu lượng giao dịch và quy mô dữ liệu theo benchmark cụ thể.</t>
  </si>
  <si>
    <t>Có xác định các yêu cầu về tính hỗ trợ của hệ thống không?</t>
  </si>
  <si>
    <t>Có nêu yêu cầu hỗ trợ tài liệu vận hành ở mức cơ bản.</t>
  </si>
  <si>
    <t>Có mô tả các yêu cầu về công nghệ và các ràng buộc đối với thiết kế không?</t>
  </si>
  <si>
    <t>Có mô tả ràng buộc công nghệ và thiết kế.</t>
  </si>
  <si>
    <t>Có xác định các yêu cầu giao tiếp của hệ thống không?</t>
  </si>
  <si>
    <t>Có xác định yêu cầu giao tiếp của hệ thống.</t>
  </si>
  <si>
    <t>Giao tiếp người dùng (GUI)?</t>
  </si>
  <si>
    <t>Giao tiếp người dùng GUI được mô tả rõ.</t>
  </si>
  <si>
    <t>Giao tiếp phần cứng?</t>
  </si>
  <si>
    <t>N/A: Không có giao tiếp phần cứng trong phạm vi web app.</t>
  </si>
  <si>
    <t>Giao tiếp phần mềm bao gồm:</t>
  </si>
  <si>
    <t>Có giao tiếp phần mềm với hệ thống ngoài (Stripe/allauth).</t>
  </si>
  <si>
    <t>Giao tiếp với các hệ thống phần mềm khác?</t>
  </si>
  <si>
    <t>Có mô tả giao tiếp giữa các module nội bộ.</t>
  </si>
  <si>
    <t>Giao tiếp giữa các modul trong nội tại hệ thống?</t>
  </si>
  <si>
    <t>Có giao tiếp truyền thông HTTP/HTTPS trong mô hình web.</t>
  </si>
  <si>
    <t>Giao tiếp truyền thông?</t>
  </si>
  <si>
    <t>Có xác định tài liệu người dùng/hỗ trợ trực tuyến cơ bản.</t>
  </si>
  <si>
    <t>Có xác định các yêu cầu về tài liệu người dùng và hỗ trợ trực tuyến không?</t>
  </si>
  <si>
    <t>Hệ thống có dùng thành phần mua ngoài/thư viện ngoài.</t>
  </si>
  <si>
    <t>Hệ thống có sử dụng các thành phần mua ngoài không?</t>
  </si>
  <si>
    <t>Thành phần ngoài đã được mô tả trong tài liệu.</t>
  </si>
  <si>
    <t>Nếu có, có được mô tả đầy đủ trong tài liệu không?</t>
  </si>
  <si>
    <t>Mức mô tả thành phần ngoài đủ để đánh giá checklist.</t>
  </si>
  <si>
    <t>Các yêu cầu pháp lý, bản quyền không?</t>
  </si>
  <si>
    <t>Có đề cập yêu cầu pháp lý và bản quyền ở mức tổng quát.</t>
  </si>
  <si>
    <t>Chưa mô tả đầy đủ các điều khoản compliance pháp lý chi tiết.</t>
  </si>
  <si>
    <t>Hệ thống có áp dụng các tiêu chuẩn nào khác ngoài các tiêu chuẩn thuộc phạm vi dự án không?</t>
  </si>
  <si>
    <t>Có nêu tiêu chuẩn tham chiếu bổ sung (ví dụ OWASP).</t>
  </si>
  <si>
    <t>Chưa đặc tả chi tiết cách áp dụng tiêu chuẩn vào từng yêu cầu/test case.</t>
  </si>
  <si>
    <t>&lt;Có thể thêm vào checklist các quan tâm khác nếu cần thiết&gt;</t>
  </si>
  <si>
    <t>* Nhận xét</t>
  </si>
  <si>
    <t>Điểm mạnh: Bộ tài liệu tổng hợp đã đủ căn cứ để thực hiện đánh giá theo checklist SRS và đối chiếu với mã nguồn.</t>
  </si>
  <si>
    <t>Điểm còn thiếu: Một số mục về compliance pháp lý, thuật toán chi tiết và định lượng hiệu năng cần mô tả sâu hơn nếu muốn đạt mức đầy đủ tuyệt đối.</t>
  </si>
  <si>
    <t>* Đề xuất</t>
  </si>
  <si>
    <t>Đề xuất: Dùng chính file Word tổng hợp làm nguồn review chuẩn; khi cập nhật yêu cầu cần cập nhật đồng thời RTM và bảng bằng chứng test.</t>
  </si>
  <si>
    <t>Định lượng các NFR: hiệu năng (thời gian phản hồi/tải), quy mô dữ liệu, ổn định dịch vụ, và yêu cầu bảo mật tối thiểu.</t>
  </si>
  <si>
    <t>Bổ sung tiêu chí chấp nhận cho từng yêu cầu chính (đăng nhập, checkout, thanh toán, refund) và quy tắc xử lý lỗi ngoại lệ.</t>
  </si>
  <si>
    <t>Code Review Checklist</t>
  </si>
  <si>
    <t>Mã dự án:</t>
  </si>
  <si>
    <t>Thành phần được xem xét:</t>
  </si>
  <si>
    <t>Phiên bản:</t>
  </si>
  <si>
    <t>Lần xem xét:</t>
  </si>
  <si>
    <t>Người xem xét:</t>
  </si>
  <si>
    <t>Ngày xem xét:</t>
  </si>
  <si>
    <t>Độ lớn sản phẩm được xem xét:</t>
  </si>
  <si>
    <t>Nhân công dành cho xem xét (MH):</t>
  </si>
  <si>
    <t>Code có được viết tốt không (về mặt hình thức) ? Đọc có dễ hiểu không?</t>
  </si>
  <si>
    <t>Cấu trúc class-based view và function-based view rõ ràng, dễ lần theo luồng nghiệp vụ.</t>
  </si>
  <si>
    <t>Các ghi chú và chuẩn lập trình</t>
  </si>
  <si>
    <t>Code có thực hiện theo đúng chuẩn lập trình không?</t>
  </si>
  <si>
    <t>Tuân thủ tương đối chuẩn Python/Django; import và đặt tên nhìn chung nhất quán.</t>
  </si>
  <si>
    <t>Tên biến</t>
  </si>
  <si>
    <t>Tên biến/hàm đa số có ý nghĩa (order, billing_address, payment_option...).</t>
  </si>
  <si>
    <t>Căn lề</t>
  </si>
  <si>
    <t>Căn lề và định dạng mã nguồn ổn định, không thấy lệch mức nghiêm trọng.</t>
  </si>
  <si>
    <t>Kiểu dấu ngoặc</t>
  </si>
  <si>
    <t>Dấu ngoặc/khối lệnh nhất quán theo cú pháp Python.</t>
  </si>
  <si>
    <t>Các file source có đầy đủ tiêu đề đầu trang và thông tin bản quyền không?</t>
  </si>
  <si>
    <t>Chưa có header file và thông tin bản quyền ở đầu tệp theo checklist.</t>
  </si>
  <si>
    <t>Các khai báo biến có được ghi chú đúng cách không?</t>
  </si>
  <si>
    <t>Nhiều biến/chỗ xử lý chưa có chú thích ngắn để làm rõ mục đích.</t>
  </si>
  <si>
    <t>Các thành phần dữ liệu dạng số có được khai báo rõ ràng không?</t>
  </si>
  <si>
    <t>Các dữ liệu số (amount, quantity, limit...) được khai báo và dùng khá rõ.</t>
  </si>
  <si>
    <t>Toàn bộ các functions, methods và classes có được ghi chú lại không</t>
  </si>
  <si>
    <t>Chưa có docstring cho đa số function/method.</t>
  </si>
  <si>
    <t>Các đoạn thuật toán phức tap và các đoạn tối ưu code có được ghi chú đầy đủ không?</t>
  </si>
  <si>
    <t>Các đoạn logic dài (đặc biệt CheckoutView.post, PaymentView.post) thiếu chú thích giải thích.</t>
  </si>
  <si>
    <t>Các đoạn code được đánh dấu hủy bỏ có được giải thích không?</t>
  </si>
  <si>
    <t>N/A: Không thấy đoạn code bị comment-out cần giải thích.</t>
  </si>
  <si>
    <t>Các ghi chú có được cập nhật kịp thời không?</t>
  </si>
  <si>
    <t>Nội dung ghi chú hiện có không mâu thuẫn với hành vi code.</t>
  </si>
  <si>
    <t>Các ghi chú có rõ ràng và đúng không?</t>
  </si>
  <si>
    <t>Các thông báo/ghi chú trong code nhìn chung đúng ngữ cảnh.</t>
  </si>
  <si>
    <t>Các ghi chú có tập trung vào giải thích tại sao chứ không phải như thế nào không?</t>
  </si>
  <si>
    <t>Ghi chú hiện có chủ yếu mô tả 'làm gì', chưa nhấn mạnh 'vì sao'.</t>
  </si>
  <si>
    <t>Tên của mỗi thủ tục/hàm/class có nói lên thủ tục/hàm/class đó làm gì hay không?</t>
  </si>
  <si>
    <t>Tên hàm/class phản ánh đúng chức năng chính.</t>
  </si>
  <si>
    <t>Xử lý lỗi</t>
  </si>
  <si>
    <t>Có xử lý lỗi mỗi khi function return không?</t>
  </si>
  <si>
    <t>Nhiều luồng có return/redirect kèm thông báo rõ khi lỗi.</t>
  </si>
  <si>
    <t>Các trường hợp ngoại lệ có được xử lý không?</t>
  </si>
  <si>
    <t>Có xử lý ngoại lệ Stripe và ObjectDoesNotExist ở các điểm quan trọng.</t>
  </si>
  <si>
    <t>Các hàm gọi đến có được thông báo khi có lỗi không?</t>
  </si>
  <si>
    <t>Người dùng được phản hồi bằng messages khi phát sinh lỗi.</t>
  </si>
  <si>
    <t>Quản lý tài nguyên</t>
  </si>
  <si>
    <t>Các bộ nhớ được cấp phát có được giải phóng không?</t>
  </si>
  <si>
    <t>N/A: Python/Django quản lý bộ nhớ tự động, không có cấp phát thủ công.</t>
  </si>
  <si>
    <t>Toàn bộ các đối tượng (Database connections, Sockets, Files, etc.) có được giải phóng ngay cả trong trường hợp có lỗi không?</t>
  </si>
  <si>
    <t>N/A: Không quản lý socket/file thủ công trong phạm vi đoạn code này.</t>
  </si>
  <si>
    <t>Có đối tượng nào được giải phóng &gt; 1 lần không?</t>
  </si>
  <si>
    <t>N/A: Không có logic giải phóng tài nguyên thủ công nên không xét được giải phóng lặp.</t>
  </si>
  <si>
    <t>Thread Safeness</t>
  </si>
  <si>
    <t>Việc thay đổi giá trị của các biến dùng trong nhiều thread có được đồng bộ không?</t>
  </si>
  <si>
    <t>N/A: Không có xử lý đồng bộ biến dùng chung đa luồng ở mức ứng dụng.</t>
  </si>
  <si>
    <t>Các đối tượng dùng trong nhiều thread có được đồng bộ không?</t>
  </si>
  <si>
    <t>N/A: Không có đối tượng lock/thread để đánh giá trong phạm vi file.</t>
  </si>
  <si>
    <t>Có giải phóng các lock theo đúng thứ tự không?</t>
  </si>
  <si>
    <t>N/A: Không sử dụng lock thủ công.</t>
  </si>
  <si>
    <t>Có khả năng xảy ra deadlock hoặc tranh chấp lock không?</t>
  </si>
  <si>
    <t>N/A: Không có dấu hiệu deadlock do không dùng cơ chế khóa.</t>
  </si>
  <si>
    <t>Các cấu trúc điều khiển</t>
  </si>
  <si>
    <t>Các điều kiện kết thúc vòng lặp có chính xác không?</t>
  </si>
  <si>
    <t>Điều kiện rẽ nhánh/vòng lặp cơ bản hợp lý.</t>
  </si>
  <si>
    <t>Code có bị lặp vô hạn không định trước không?</t>
  </si>
  <si>
    <t>Không thấy vòng lặp vô hạn không chủ đích.</t>
  </si>
  <si>
    <t>Các vòng lặp lồng nhau có được giảm đến mức ít nhất?</t>
  </si>
  <si>
    <t>Không có vòng lặp lồng nhau phức tạp đáng kể.</t>
  </si>
  <si>
    <t>Performance</t>
  </si>
  <si>
    <t>Có xảy ra trường hợp trùng lặp cả một object trong khi có thể tham chiếu đến nó không?</t>
  </si>
  <si>
    <t>Ít thấy trùng lặp object không cần thiết ở mức nghiêm trọng.</t>
  </si>
  <si>
    <t>Code có ảnh hưởng đến kích thước, tốc độ hoặc bộ nhớ sử dụng không?</t>
  </si>
  <si>
    <t>Hiệu năng ở mức chấp nhận được cho quy mô học phần.</t>
  </si>
  <si>
    <t>Code đã được viết tối ưu chưa?</t>
  </si>
  <si>
    <t>Còn điểm cần tối ưu (truy vấn lặp, hàm dài, có thể tách nhỏ logic).</t>
  </si>
  <si>
    <t>Các hàm</t>
  </si>
  <si>
    <t>Các biến của hàm có được xác minh rõ ràng trong code không?</t>
  </si>
  <si>
    <t>Biến hàm tương đối rõ ràng và đúng ngữ cảnh.</t>
  </si>
  <si>
    <t>Các mảng có được kiểm tra trường hợp ngoài khoảng không?</t>
  </si>
  <si>
    <t>N/A: Không có thao tác mảng chỉ số điển hình để kiểm tra out-of-range.</t>
  </si>
  <si>
    <t>Các biến có được khai báo trước khi sử dụng không?</t>
  </si>
  <si>
    <t>Biến được khai báo trước khi sử dụng.</t>
  </si>
  <si>
    <t>Thủ tục/hàm/class có dài quá không? có thể làm đơn giản bằng cách tách ra thành những thủ tục/hàm/class nhỏ hơn không?</t>
  </si>
  <si>
    <t>Một số hàm còn dài, nên tách thành hàm con để tăng khả năng bảo trì.</t>
  </si>
  <si>
    <t>&lt; Thêm tiếp nếu cần&gt;</t>
  </si>
  <si>
    <t>Điểm mạnh: Code bám đúng nghiệp vụ thương mại điện tử, có xử lý ngoại lệ và thông báo lỗi tương đối đầy đủ; luồng chính (giỏ hàng, checkout, thanh toán) hoạt động mạch lạc.</t>
  </si>
  <si>
    <t>Điểm cần cải thiện: Thiếu docstring/chú thích cho nhiều hàm; một số hàm dài và chứa nhiều nhánh điều kiện, gây khó bảo trì khi mở rộng.</t>
  </si>
  <si>
    <t>Đề xuất 1: Tách nhỏ CheckoutView.post và PaymentView.post thành các hàm chuyên trách (xử lý địa chỉ, xử lý thanh toán, xử lý lỗi) để giảm độ phức tạp.</t>
  </si>
  <si>
    <t>Đề xuất 2: Bổ sung docstring/chú thích ngắn cho các hàm trọng yếu, đồng thời chuẩn hóa thông báo lỗi theo một cấu trúc thống nhất để dễ kiểm thử.</t>
  </si>
  <si>
    <t>[       ] - Xem xét lại</t>
  </si>
  <si>
    <t>X</t>
  </si>
  <si>
    <t>[       ] - Khác</t>
  </si>
  <si>
    <t>KỊCH BẢN KIỂM THỬ</t>
  </si>
  <si>
    <t>Tên màn hình/Tên chức năng</t>
  </si>
  <si>
    <t>Laptop</t>
  </si>
  <si>
    <t>Mã trường hợp kiểm thử</t>
  </si>
  <si>
    <t>HC</t>
  </si>
  <si>
    <t>`</t>
  </si>
  <si>
    <t>PHẦN HỆ THỐNG (Product + Cart)</t>
  </si>
  <si>
    <t xml:space="preserve">- Chức năng Product + Cart: Là hệ thống cho phép người dùng xem danh sách sản phẩm, lựa chọn sản phẩm và thêm vào giỏ hàng. Người dùng có thể thay đổi số </t>
  </si>
  <si>
    <t xml:space="preserve"> lượng sản phẩm trong giỏ, xóa sản phẩm hoặc tiếp tục mua sắm. Giỏ hàng sẽ tự động cập nhật tổng tiền tương ứng với số lượng sản phẩm.</t>
  </si>
  <si>
    <t>- Chức năng này đóng vai trò quan trọng trong hệ thống thương mại điện tử, ảnh hưởng trực tiếp đến trải nghiệm người dùng và quy trình thanh toán.</t>
  </si>
  <si>
    <t>ID</t>
  </si>
  <si>
    <t>Chức năng</t>
  </si>
  <si>
    <t>Input</t>
  </si>
  <si>
    <t>Expected</t>
  </si>
  <si>
    <t>Kết quả</t>
  </si>
  <si>
    <t>SYS01</t>
  </si>
  <si>
    <t>Xem sản phẩm</t>
  </si>
  <si>
    <t>Hiển thị danh sách sản phẩm</t>
  </si>
  <si>
    <t>Truy cập trang product</t>
  </si>
  <si>
    <t xml:space="preserve">Hiển thị danh sách đầy đủ </t>
  </si>
  <si>
    <t>Passed</t>
  </si>
  <si>
    <t>SYS02</t>
  </si>
  <si>
    <t>Xem chi tiết sản phẩm</t>
  </si>
  <si>
    <t>Xem thông tin chi tiết</t>
  </si>
  <si>
    <t>Click vào sản phẩm</t>
  </si>
  <si>
    <t>Hiển thị đúng thông tin</t>
  </si>
  <si>
    <t>SYS03</t>
  </si>
  <si>
    <t>Thêm vào giỏ hàng</t>
  </si>
  <si>
    <t>Thêm sản phẩm vào cart</t>
  </si>
  <si>
    <t>Click "Add to cart"</t>
  </si>
  <si>
    <t>Sản phẩm được thêm</t>
  </si>
  <si>
    <t>SYS04</t>
  </si>
  <si>
    <t>Cập nhật số lượng</t>
  </si>
  <si>
    <t>Tăng/giảm số lượng</t>
  </si>
  <si>
    <t>Nhấn +/-</t>
  </si>
  <si>
    <t>Số lượng thay đổi đúng</t>
  </si>
  <si>
    <t>TESTING (TEST CASE)</t>
  </si>
  <si>
    <t>Add to Cart</t>
  </si>
  <si>
    <t>TC01</t>
  </si>
  <si>
    <t>Add to cart</t>
  </si>
  <si>
    <t>Thêm sản phẩm</t>
  </si>
  <si>
    <t>Click add</t>
  </si>
  <si>
    <t>Sản phẩm vào giỏ</t>
  </si>
  <si>
    <t>TC02</t>
  </si>
  <si>
    <t>Thêm nhiều lần</t>
  </si>
  <si>
    <t>Click nhiều lần</t>
  </si>
  <si>
    <t>Tăng số lượng</t>
  </si>
  <si>
    <t>TC03</t>
  </si>
  <si>
    <t>Thêm sản phẩm hết hàng</t>
  </si>
  <si>
    <t>Click add, không có thông báo sản phẩm hết hàng</t>
  </si>
  <si>
    <t>Failed</t>
  </si>
  <si>
    <t>Remove Item</t>
  </si>
  <si>
    <t>TC04</t>
  </si>
  <si>
    <t>Remove item</t>
  </si>
  <si>
    <t>Xoá sản phẩm</t>
  </si>
  <si>
    <t>Click remove</t>
  </si>
  <si>
    <t>Sản phẩm bị xoá</t>
  </si>
  <si>
    <t>TC05</t>
  </si>
  <si>
    <t>Xoá khi giỏ rỗng</t>
  </si>
  <si>
    <t>Không có sản phẩm để remove</t>
  </si>
  <si>
    <t>Update Quantity</t>
  </si>
  <si>
    <t>TC06</t>
  </si>
  <si>
    <t>Update quantity</t>
  </si>
  <si>
    <t>Click +</t>
  </si>
  <si>
    <t>Số lượng tăng</t>
  </si>
  <si>
    <t>TC07</t>
  </si>
  <si>
    <t>Giảm số lượng</t>
  </si>
  <si>
    <t>Click -</t>
  </si>
  <si>
    <t>Số lượng giảm</t>
  </si>
  <si>
    <t>TC08</t>
  </si>
  <si>
    <t>Nhập số âm</t>
  </si>
  <si>
    <t>Không nhập được số âm</t>
  </si>
  <si>
    <t>TC09</t>
  </si>
  <si>
    <t>Nhập số lớn</t>
  </si>
  <si>
    <t>Tăng số lượng lên tới 1059</t>
  </si>
  <si>
    <t>Số lượng và số tiền tăng đúng</t>
  </si>
  <si>
    <t>REVIEW (RÀ SOÁT LOGIC)</t>
  </si>
  <si>
    <t>Logic thêm giỏ hàng</t>
  </si>
  <si>
    <t>RV01</t>
  </si>
  <si>
    <t>Thêm sản phẩm đã tồn tại</t>
  </si>
  <si>
    <t>Add cùng sản phẩm</t>
  </si>
  <si>
    <t>Tăng quantity (1 lần = +1)</t>
  </si>
  <si>
    <t>RV02</t>
  </si>
  <si>
    <t>Kiểm tra tồn tại</t>
  </si>
  <si>
    <t>Add product</t>
  </si>
  <si>
    <t>Không tạo duplicate</t>
  </si>
  <si>
    <t>Giá tiền</t>
  </si>
  <si>
    <t>RV03</t>
  </si>
  <si>
    <t>Tính giá</t>
  </si>
  <si>
    <t>Tính tổng tiền</t>
  </si>
  <si>
    <t>price * quantity</t>
  </si>
  <si>
    <t>Tổng đúng</t>
  </si>
  <si>
    <t>RV04</t>
  </si>
  <si>
    <t>Update giá</t>
  </si>
  <si>
    <t>Đổi số lượng</t>
  </si>
  <si>
    <t>quantity thay đổi</t>
  </si>
  <si>
    <t>Giá cập nhật</t>
  </si>
  <si>
    <t>Lỗi duplicate</t>
  </si>
  <si>
    <t>RV05</t>
  </si>
  <si>
    <t>Duplicate</t>
  </si>
  <si>
    <t>Click nhanh nhiều lần</t>
  </si>
  <si>
    <t>Spam click</t>
  </si>
  <si>
    <t>Không duplicate https://youtu.be/k3UoRxZp-A0?si=qfOm5AibLAhmN3bs</t>
  </si>
  <si>
    <t>RV06</t>
  </si>
  <si>
    <t>Refresh page</t>
  </si>
  <si>
    <t>Reload</t>
  </si>
  <si>
    <t>Không nhân đôi https://youtu.be/k3UoRxZp-A0?si=qfOm5AibLAhmN3bs</t>
  </si>
  <si>
    <t>BUG HUNTING (TÌM BUG)</t>
  </si>
  <si>
    <t>Sai số lượng</t>
  </si>
  <si>
    <t>BUG01</t>
  </si>
  <si>
    <t>Quantity</t>
  </si>
  <si>
    <t>Thêm 1 thành 2</t>
  </si>
  <si>
    <t>Add 1 lần</t>
  </si>
  <si>
    <t>PE</t>
  </si>
  <si>
    <t>BUG02</t>
  </si>
  <si>
    <t>Update sai</t>
  </si>
  <si>
    <t>Change quantity</t>
  </si>
  <si>
    <t>Đúng giá trị</t>
  </si>
  <si>
    <t>Không cập nhật UI</t>
  </si>
  <si>
    <t>BUG03</t>
  </si>
  <si>
    <t>UI</t>
  </si>
  <si>
    <t>Add không hiện</t>
  </si>
  <si>
    <t>UI update ngay</t>
  </si>
  <si>
    <t>Fail nếu không</t>
  </si>
  <si>
    <t>BUG04</t>
  </si>
  <si>
    <t>Update không đổi</t>
  </si>
  <si>
    <t>UI thay đổi</t>
  </si>
  <si>
    <t>Not run</t>
  </si>
  <si>
    <t>Điền thêm cột Kết quả = Pass/Fail (dựa trên test thực tế)</t>
  </si>
  <si>
    <t>Nếu Fail → ghi thêm:</t>
  </si>
  <si>
    <t>Severity (High/Medium/Low)</t>
  </si>
  <si>
    <t>Screenshot (nếu có)</t>
  </si>
  <si>
    <t>KỊCH BẢN KIỂM THỬ ORDER + UI TESTING + REPORT</t>
  </si>
  <si>
    <t>1. PHẦN HỆ THỐNG (ORDER)</t>
  </si>
  <si>
    <t>SYS05</t>
  </si>
  <si>
    <t>Checkout</t>
  </si>
  <si>
    <t>Truy cập trang thanh toán</t>
  </si>
  <si>
    <t>Click “Checkout”</t>
  </si>
  <si>
    <t>Hiển thị trang checkout</t>
  </si>
  <si>
    <t>Pass/Fail</t>
  </si>
  <si>
    <t>SYS06</t>
  </si>
  <si>
    <t>Đặt hàng</t>
  </si>
  <si>
    <t>Nhập thông tin đặt hàng</t>
  </si>
  <si>
    <t>Form thông tin</t>
  </si>
  <si>
    <t>Tạo đơn hàng thành công</t>
  </si>
  <si>
    <t>2. TESTING (TEST CASE)</t>
  </si>
  <si>
    <t>2.1 Checkout Flow</t>
  </si>
  <si>
    <t>TC16</t>
  </si>
  <si>
    <t>Checkout flow</t>
  </si>
  <si>
    <t>Flow đầy đủ</t>
  </si>
  <si>
    <t>Login → Cart → Checkout</t>
  </si>
  <si>
    <t>Không lỗi</t>
  </si>
  <si>
    <t>TC17</t>
  </si>
  <si>
    <t>Giỏ hàng rỗng</t>
  </si>
  <si>
    <t>Báo lỗi</t>
  </si>
  <si>
    <t>2.2 Không login → Redirect</t>
  </si>
  <si>
    <t>TC18</t>
  </si>
  <si>
    <t>Auth check</t>
  </si>
  <si>
    <t>Chưa login</t>
  </si>
  <si>
    <t>Click checkout</t>
  </si>
  <si>
    <t>Redirect login</t>
  </si>
  <si>
    <t>TC19</t>
  </si>
  <si>
    <t>Session hết hạn</t>
  </si>
  <si>
    <t>Yêu cầu login lại</t>
  </si>
  <si>
    <t>2.3 Thanh toán giả lập</t>
  </si>
  <si>
    <t>TC20</t>
  </si>
  <si>
    <t>Payment</t>
  </si>
  <si>
    <t>Thanh toán giả lập</t>
  </si>
  <si>
    <t>Click “Place Order”</t>
  </si>
  <si>
    <t>Tạo đơn hàng</t>
  </si>
  <si>
    <t>TC21</t>
  </si>
  <si>
    <t>Submit thiếu thông tin</t>
  </si>
  <si>
    <t>Form thiếu</t>
  </si>
  <si>
    <t>3. UI TESTING (KIỂM TRA GIAO DIỆN)</t>
  </si>
  <si>
    <t>3.1 Form</t>
  </si>
  <si>
    <t>UI01</t>
  </si>
  <si>
    <t>Form</t>
  </si>
  <si>
    <t>Nhập dữ liệu hợp lệ</t>
  </si>
  <si>
    <t>Form đầy đủ</t>
  </si>
  <si>
    <t>Submit thành công</t>
  </si>
  <si>
    <t>UI02</t>
  </si>
  <si>
    <t>Bỏ trống field</t>
  </si>
  <si>
    <t>Hiển thị lỗi</t>
  </si>
  <si>
    <t>UI03</t>
  </si>
  <si>
    <t>Nhập sai định dạng</t>
  </si>
  <si>
    <t>Email sai</t>
  </si>
  <si>
    <t>3.2 Button</t>
  </si>
  <si>
    <t>UI04</t>
  </si>
  <si>
    <t>Button</t>
  </si>
  <si>
    <t>Click button</t>
  </si>
  <si>
    <t>Hoạt động đúng</t>
  </si>
  <si>
    <t>UI05</t>
  </si>
  <si>
    <t>3.3 Layout</t>
  </si>
  <si>
    <t>UI06</t>
  </si>
  <si>
    <t>Layout</t>
  </si>
  <si>
    <t>Hiển thị trang</t>
  </si>
  <si>
    <t>Load page</t>
  </si>
  <si>
    <t>Không vỡ layout</t>
  </si>
  <si>
    <t>UI07</t>
  </si>
  <si>
    <t>Responsive</t>
  </si>
  <si>
    <t>Resize màn hình</t>
  </si>
  <si>
    <t>Hiển thị tốt</t>
  </si>
  <si>
    <t>4. REPORT (TỔNG HỢP KẾT QUẢ)</t>
  </si>
  <si>
    <t>4.1 Test Result</t>
  </si>
  <si>
    <t>RP01</t>
  </si>
  <si>
    <t>Test result</t>
  </si>
  <si>
    <t>Tổng hợp test</t>
  </si>
  <si>
    <t>All test</t>
  </si>
  <si>
    <t>% Pass cao</t>
  </si>
  <si>
    <t>4.2 Bug Report</t>
  </si>
  <si>
    <t>RP02</t>
  </si>
  <si>
    <t>Bug</t>
  </si>
  <si>
    <t>Lỗi checkout</t>
  </si>
  <si>
    <t>Fail nếu lỗi</t>
  </si>
  <si>
    <t>RP03</t>
  </si>
  <si>
    <t>Lỗi UI</t>
  </si>
  <si>
    <t>Form/Button</t>
  </si>
  <si>
    <t>Hiển thị đúng</t>
  </si>
  <si>
    <t>4.3 Screenshot</t>
  </si>
  <si>
    <t>RP04</t>
  </si>
  <si>
    <t>Screenshot</t>
  </si>
  <si>
    <t>Chụp lỗi</t>
  </si>
  <si>
    <t>Khi fail</t>
  </si>
  <si>
    <t>Có minh chứng</t>
  </si>
  <si>
    <t>Function Name</t>
  </si>
  <si>
    <t>Đăng nhập, đăng ký</t>
  </si>
  <si>
    <t>Test Result</t>
  </si>
  <si>
    <t>Chrome</t>
  </si>
  <si>
    <t>Total</t>
  </si>
  <si>
    <t>Pending</t>
  </si>
  <si>
    <t>NA</t>
  </si>
  <si>
    <t xml:space="preserve"> Summary</t>
  </si>
  <si>
    <t>Steps</t>
  </si>
  <si>
    <t>Expected Output</t>
  </si>
  <si>
    <t>Test Results</t>
  </si>
  <si>
    <t>Notes</t>
  </si>
  <si>
    <t>I. Check UI/UX của màn hình "Đăng Ký"</t>
  </si>
  <si>
    <t>DK_001</t>
  </si>
  <si>
    <t>Check Giao diện mặc định của màn hình "Đăng Ký"</t>
  </si>
  <si>
    <t>1. Truy cập http://127.0.0.1:8000/ 
2. Bấm vào Signup
3. Kiểm tra giao diện mặc định</t>
  </si>
  <si>
    <t xml:space="preserve">UI mặc định của màn hình "Đăng Ký" được hiển thị đúng như ảnh dưới đây:
</t>
  </si>
  <si>
    <t>DK_002</t>
  </si>
  <si>
    <t>Check bố cục,căn chỉnh các field, font,size</t>
  </si>
  <si>
    <t>Kiểm tra bố cục, căn chỉnh các field (Email, Mật khẩu, Nhập lại mật khẩu)</t>
  </si>
  <si>
    <t>Các field được căn chỉnh hợp lý, thẳng hàng</t>
  </si>
  <si>
    <t>DK_003</t>
  </si>
  <si>
    <t>Check xử lý của hệ thống khi nhấm "Tab'"từ bàn phím</t>
  </si>
  <si>
    <t>1. Focus vào field đầu tiên (Email) 
2. Nhấn phím "Tab" liên tục</t>
  </si>
  <si>
    <t>Con trỏ chuột di chuyển qua các field từ trái sang phải, từ trên xuống dưới</t>
  </si>
  <si>
    <t>DK_004</t>
  </si>
  <si>
    <t>Check xử lý của hệ thống khi nhấm "Shift+ Tab' từ bàn phím</t>
  </si>
  <si>
    <t>1. Focus vào field cuối cùng "Password (again)" 
2. Nhấn "Shift+Tab" liên tục</t>
  </si>
  <si>
    <t>Con trỏ chuột di chuyển qua các field từ phải sang trái, từ dưới lên trên</t>
  </si>
  <si>
    <t>II. Kiểm thử đơn vị và hộp đen - Validation các field (Unit &amp; Black-box Testing)-Đăng ký</t>
  </si>
  <si>
    <t>1. Họ tên</t>
  </si>
  <si>
    <t>DK_005</t>
  </si>
  <si>
    <t>Để trống field "Email"</t>
  </si>
  <si>
    <t>1. Để trống field bắt buộc bất kỳ (có dấu *)
2. Nhập giá trị hợp lệ vào tất cả các trường còn lại.
3. Nhấn  button  [Sign Up]</t>
  </si>
  <si>
    <t>Hiển thị thông báo cần điền các trường thiếu dữ liệu</t>
  </si>
  <si>
    <t>DK_006</t>
  </si>
  <si>
    <t xml:space="preserve">Check  độ dài tối thiểu </t>
  </si>
  <si>
    <t>1. Nhập 1 ký tự hợp lệ vào field "Họ tên" .
2. Nhập giá trị hợp lệ vào tất cả các trường còn lại.
3. Nhấn  button  [Sign Up]</t>
  </si>
  <si>
    <r>
      <rPr>
        <sz val="11"/>
        <color theme="1"/>
        <rFont val="Calibri"/>
        <charset val="134"/>
        <scheme val="minor"/>
      </rPr>
      <t xml:space="preserve">
3. Màn hình hiển thị thông báo : "tối thiểu phải có 3 ký tự</t>
    </r>
    <r>
      <rPr>
        <i/>
        <sz val="11"/>
        <color theme="1"/>
        <rFont val="Calibri"/>
        <charset val="134"/>
        <scheme val="minor"/>
      </rPr>
      <t>"</t>
    </r>
  </si>
  <si>
    <t>DK_007</t>
  </si>
  <si>
    <t>Kiểm tra Maxlength</t>
  </si>
  <si>
    <t>1.Nhập text có độ dài   =31 ký tự  vào field "Họ tên" .
2. Nhập giá trị hợp lệ vào tất cả các trường còn lại.
3. Nhấn  button  [Sign Up]</t>
  </si>
  <si>
    <r>
      <rPr>
        <sz val="11"/>
        <color theme="1"/>
        <rFont val="Calibri"/>
        <charset val="134"/>
        <scheme val="minor"/>
      </rPr>
      <t xml:space="preserve">
3. Hiển thị error message dưới field "Họ tên " với nội dung :
 </t>
    </r>
    <r>
      <rPr>
        <i/>
        <sz val="11"/>
        <color theme="1"/>
        <rFont val="Calibri"/>
        <charset val="134"/>
        <scheme val="minor"/>
      </rPr>
      <t xml:space="preserve">"vượt quá 30 ký tự cho phép "
</t>
    </r>
  </si>
  <si>
    <t>DK_008</t>
  </si>
  <si>
    <t>1. Nhập text có độ dài = 30 ký tự hợp lệ vào field "Họ tên" .
2. Nhập giá trị hợp lệ vào tất cả các trường còn lại.
3. Nhấn  button  [Sign Up]</t>
  </si>
  <si>
    <r>
      <rPr>
        <sz val="11"/>
        <color theme="1"/>
        <rFont val="Calibri"/>
        <charset val="134"/>
        <scheme val="minor"/>
      </rPr>
      <t xml:space="preserve">
3. Màn hình hiển thị thông báo : "</t>
    </r>
    <r>
      <rPr>
        <i/>
        <sz val="11"/>
        <color theme="1"/>
        <rFont val="Calibri"/>
        <charset val="134"/>
        <scheme val="minor"/>
      </rPr>
      <t>Đăng ký thành công"</t>
    </r>
  </si>
  <si>
    <t>DK_009</t>
  </si>
  <si>
    <t>Nhập ký tự đặc biệt vào field "Họ tên"</t>
  </si>
  <si>
    <t>1. Nhập những ký tự đặc biệt vào field "Họ tên" .
Ví dụ : $%^&amp;*
2. Nhập giá trị hợp lệ vào tất cả các trường còn lại.
3. Nhấn  button  [Sign Up]</t>
  </si>
  <si>
    <t xml:space="preserve">
3. Màn hình hiển thị thông báo : "Đăng ký thành công"</t>
  </si>
  <si>
    <t>DK_010</t>
  </si>
  <si>
    <t xml:space="preserve">Nhập html ,java script và field " Họ tên" </t>
  </si>
  <si>
    <t>1.Nhập html ,java script và field " Họ tên" 
Ví dụ : &lt;script&gt; alert ('Hello') &lt;/script&gt;
2. Nhập giá trị hợp lệ vào tất cả các trường còn lại.
3. Nhấn  button  [Sign Up]</t>
  </si>
  <si>
    <t xml:space="preserve">3. Hệ thống không thực thi đoạn html , java script đó 
Và vẫn coi đó là 1 đoạn text cho phép lưu vào DB thành công </t>
  </si>
  <si>
    <t>DK_011</t>
  </si>
  <si>
    <t xml:space="preserve">Nhập space vào trước/ sau họ tên </t>
  </si>
  <si>
    <t>1. Nhập space vào trước và sau text trên field "Họ tên" .
Ví dụ : "   Dang Anh       "
2. Nhập giá trị hợp lệ vào tất cả các trường còn lại.
3. Nhấn  button  [Sign Up]</t>
  </si>
  <si>
    <r>
      <rPr>
        <sz val="11"/>
        <color theme="1"/>
        <rFont val="Calibri"/>
        <charset val="134"/>
        <scheme val="minor"/>
      </rPr>
      <t xml:space="preserve">
3. Màn hình hiển thị thông báo : "</t>
    </r>
    <r>
      <rPr>
        <i/>
        <sz val="11"/>
        <color theme="1"/>
        <rFont val="Calibri"/>
        <charset val="134"/>
        <scheme val="minor"/>
      </rPr>
      <t>Đăng ký thành công"
&gt;&gt; Hệ thống sẽ tự động loại bỏ khoảng trắng trước /sau data vừa nhập và lưu thành công vào trong DB</t>
    </r>
  </si>
  <si>
    <t>1. Email</t>
  </si>
  <si>
    <t>1. Tiến hành để trống field "Email"
2. Nhập giá trị hợp lệ vào tất cả các trường còn lại.
3. Nhấn  button  [Sign Up]</t>
  </si>
  <si>
    <t>Hiển thị error message dưới field "Email" với nội dung :
 "Please fill out this field"
- Highlight và focus vào field bị lỗi</t>
  </si>
  <si>
    <r>
      <rPr>
        <sz val="11"/>
        <color rgb="FF000000"/>
        <rFont val="Calibri"/>
        <charset val="134"/>
        <scheme val="minor"/>
      </rPr>
      <t xml:space="preserve">Check độ dài tối đa
</t>
    </r>
    <r>
      <rPr>
        <i/>
        <sz val="11"/>
        <color rgb="FF000000"/>
        <rFont val="Calibri"/>
        <charset val="134"/>
        <scheme val="minor"/>
      </rPr>
      <t>( Điều kiện : Email chưa tồn tại trong DB)</t>
    </r>
  </si>
  <si>
    <t>1. Nhập email độ dài  = 51 ký tự  vào field "Email" .
2. Nhập giá trị hợp lệ vào tất cả các trường còn lại.
3. Nhấn  button  [Sign Up]</t>
  </si>
  <si>
    <t>Màn hình hiển thị "Sucessfull" và tự động điều hướng về trang chủ và sign in</t>
  </si>
  <si>
    <t>1. Nhập email hợp lệ chưa tồn tại trong DB  với độ dài = 100 ký tự vào field "Email"
2. Nhập giá trị hợp lệ vào tất cả các trường còn lại.
3. Nhấn  button  [Sign Up]</t>
  </si>
  <si>
    <t>Màn hình hiển thị "Successfully signed in as &lt;tên email&gt;" và tự động điều hướng về trang chủ và sign in</t>
  </si>
  <si>
    <t>Nhập sai đinh dạng email</t>
  </si>
  <si>
    <t>1.Nhập  email  thiếu tên miền vào field "Email "
vidu : anh@abc
2. Nhập giá trị hợp lệ vào tất cả các trường còn lại.
3. Nhấn  button  [Sign Up]</t>
  </si>
  <si>
    <r>
      <rPr>
        <sz val="11"/>
        <color theme="1"/>
        <rFont val="Calibri"/>
        <charset val="134"/>
        <scheme val="minor"/>
      </rPr>
      <t xml:space="preserve">
3. Hiển thị error message dưới field "Email " với nội dung :
 "</t>
    </r>
    <r>
      <rPr>
        <i/>
        <sz val="11"/>
        <color theme="1"/>
        <rFont val="Calibri"/>
        <charset val="134"/>
        <scheme val="minor"/>
      </rPr>
      <t>Enter a valid email address</t>
    </r>
    <r>
      <rPr>
        <sz val="11"/>
        <color theme="1"/>
        <rFont val="Calibri"/>
        <charset val="134"/>
        <scheme val="minor"/>
      </rPr>
      <t xml:space="preserve"> "
- Highlight và focus vào field bị lỗi</t>
    </r>
  </si>
  <si>
    <t>1. Nhập  email  thiếu @ vào field "Email "
vidu : anhabc.com
2. Nhập giá trị hợp lệ vào tất cả các trường còn lại.
3. Nhấn  button  [Sign Up]</t>
  </si>
  <si>
    <t>1. Nhập  email  thiếu tên miền sau dấu chấm vào field "Email "
vidu : anh@abc.
2. Nhập giá trị hợp lệ vào tất cả các trường còn lại.
3. Nhấn  button  [Sign Up]</t>
  </si>
  <si>
    <t>Nhập email chứa ký tự đặc biệt</t>
  </si>
  <si>
    <t>1. Nhập  email  chứa ký tự đăc biệt ( loại trừ @, _ , . ) vào field "Email "
vidu : anh$%^^^@abc.com
2. Nhập giá trị hợp lệ vào tất cả các trường còn lại.
3. Nhấn  button  [Sign Up]</t>
  </si>
  <si>
    <t>Màn hình hiển thị thông báo lỗi : "A part following '@' should not contain the symbol #"</t>
  </si>
  <si>
    <t>DK_012</t>
  </si>
  <si>
    <r>
      <rPr>
        <sz val="11"/>
        <color theme="1"/>
        <rFont val="Calibri"/>
        <charset val="134"/>
        <scheme val="minor"/>
      </rPr>
      <t xml:space="preserve">Nhập </t>
    </r>
    <r>
      <rPr>
        <sz val="11"/>
        <color rgb="FF000000"/>
        <rFont val="Calibri"/>
        <charset val="134"/>
        <scheme val="minor"/>
      </rPr>
      <t>Email đã tồn tại trong DB</t>
    </r>
  </si>
  <si>
    <t>1. Nhập "Email" đã tồn tại trong DB
2. Nhập giá trị hợp lệ vào tất cả các trường còn lại.
3. Nhấn  button  [Sign Up]</t>
  </si>
  <si>
    <r>
      <rPr>
        <sz val="11"/>
        <color theme="1"/>
        <rFont val="Calibri"/>
        <charset val="134"/>
        <scheme val="minor"/>
      </rPr>
      <t xml:space="preserve">
3.Hiển thị error message dưới field "Email " với nội dung : "</t>
    </r>
    <r>
      <rPr>
        <i/>
        <sz val="11"/>
        <color theme="1"/>
        <rFont val="Calibri"/>
        <charset val="134"/>
        <scheme val="minor"/>
      </rPr>
      <t>A user is already registered with this e-mail address.</t>
    </r>
    <r>
      <rPr>
        <sz val="11"/>
        <color theme="1"/>
        <rFont val="Calibri"/>
        <charset val="134"/>
        <scheme val="minor"/>
      </rPr>
      <t xml:space="preserve">" 
</t>
    </r>
  </si>
  <si>
    <t>DK_013</t>
  </si>
  <si>
    <r>
      <rPr>
        <i/>
        <sz val="11"/>
        <color theme="1"/>
        <rFont val="Calibri"/>
        <charset val="134"/>
        <scheme val="minor"/>
      </rPr>
      <t xml:space="preserve">Nhập </t>
    </r>
    <r>
      <rPr>
        <i/>
        <sz val="11"/>
        <color rgb="FF000000"/>
        <rFont val="Calibri"/>
        <charset val="134"/>
        <scheme val="minor"/>
      </rPr>
      <t>Email toàn là chữ hoa 
(Điều kiện : Email chưa tồn tại trong DB)</t>
    </r>
  </si>
  <si>
    <t>1. Nhập "Email" toàn là chữ hoa 
2. Nhập giá trị hợp lệ vào tất cả các trường còn lại.
3. Nhấn  button  [Sign Up]</t>
  </si>
  <si>
    <t>Đăng ký thành công 
=&gt; Hệ thống tự động chuyển đổi và lưu email là chữ thường vào trong DB</t>
  </si>
  <si>
    <t>DK_014</t>
  </si>
  <si>
    <r>
      <rPr>
        <sz val="11"/>
        <color rgb="FF000000"/>
        <rFont val="Calibri"/>
        <charset val="134"/>
        <scheme val="minor"/>
      </rPr>
      <t xml:space="preserve">Nhập space vào trước/ sau địa chỉ Email
 </t>
    </r>
    <r>
      <rPr>
        <i/>
        <sz val="11"/>
        <color rgb="FF000000"/>
        <rFont val="Calibri"/>
        <charset val="134"/>
        <scheme val="minor"/>
      </rPr>
      <t>(Điều kiện : Email chưa tồn tại trong DB)</t>
    </r>
  </si>
  <si>
    <t>1. Nhập space vào trước và sau email hợp lệ trên field "Email" với độ dài hợp lệ 
Ví dụ : "   anhdang@gmail.com      "
2. Nhập giá trị hợp lệ vào tất cả các trường còn lại.
3. Nhấn  button  [Sign Up]</t>
  </si>
  <si>
    <r>
      <rPr>
        <sz val="11"/>
        <color theme="1"/>
        <rFont val="Calibri"/>
        <charset val="134"/>
        <scheme val="minor"/>
      </rPr>
      <t>Màn hình hiển thị "Successfully signed in as &lt;tên email&gt;" và tự động điều hướng về trang chủ và sign in</t>
    </r>
    <r>
      <rPr>
        <i/>
        <sz val="11"/>
        <color theme="1"/>
        <rFont val="Calibri"/>
        <charset val="134"/>
        <scheme val="minor"/>
      </rPr>
      <t xml:space="preserve">
&gt;&gt; Hệ thống sẽ tự động loại bỏ khoảng trắng trước /sau data vừa nhập và lưu thành công vào trong DB</t>
    </r>
  </si>
  <si>
    <t>3. Mật khẩu</t>
  </si>
  <si>
    <t>DK_015</t>
  </si>
  <si>
    <t>Để trống field "Mật khẩu"</t>
  </si>
  <si>
    <t>1. Tiến hành để trống field Mật khẩu"
2. Nhập giá trị hợp lệ vào tất cả các trường còn lại.
3. Nhấn  button  [Sign Up]</t>
  </si>
  <si>
    <t xml:space="preserve">
Hiển thị error message dưới field "Mật khẩu " với nội dung :
 "Please fill out this field"
- Highlight và focus vào field bị lỗi</t>
  </si>
  <si>
    <t>DK_016</t>
  </si>
  <si>
    <t>Check hiển thị ở field " Mật Khẩu"</t>
  </si>
  <si>
    <t>1. Nhập data vào field " Mật Khẩu"
2. Quan sát hiển thị data ở field đó</t>
  </si>
  <si>
    <t>Mật khẩu vừa nhập có định dạng : ***</t>
  </si>
  <si>
    <t>DK_017</t>
  </si>
  <si>
    <t>Check độ dài tối thiểu</t>
  </si>
  <si>
    <t>1. Nhập chữ/số vào field " Mật khẩu" với độ dài =8 ký tự
2. Nhập giá trị hợp lệ vào tất cả các trường còn lại.
3. Nhấn  button  [Sign Up]</t>
  </si>
  <si>
    <r>
      <rPr>
        <sz val="11"/>
        <color theme="1"/>
        <rFont val="Calibri"/>
        <charset val="134"/>
        <scheme val="minor"/>
      </rPr>
      <t>Hiển thị error message dưới field "Password" với nội dung :
 "</t>
    </r>
    <r>
      <rPr>
        <i/>
        <sz val="11"/>
        <color theme="1"/>
        <rFont val="Calibri"/>
        <charset val="134"/>
        <scheme val="minor"/>
      </rPr>
      <t>This password is too short. It must contain at least 8 characters.</t>
    </r>
    <r>
      <rPr>
        <sz val="11"/>
        <color theme="1"/>
        <rFont val="Calibri"/>
        <charset val="134"/>
        <scheme val="minor"/>
      </rPr>
      <t>"</t>
    </r>
  </si>
  <si>
    <t>DK_018</t>
  </si>
  <si>
    <t>1. Nhập chữ/số vào field "Mật Khẩu"  với độ dài = 8 ký tự hợp lệ
2. Nhập giá trị hợp lệ vào tất cả các trường còn lại.
3. Nhấn  button  [Sign Up]</t>
  </si>
  <si>
    <t>DK_019</t>
  </si>
  <si>
    <t>Check độ dài tối đa</t>
  </si>
  <si>
    <t>1. Trên form "Sign Up" tiến hành nhập chữ/số vào field với độ dài= 30 ký tự
2. Nhập giá trị hợp lệ vào tất cả các trường còn lại.
3. Nhấn  button  [Sign Up]</t>
  </si>
  <si>
    <t>DK_020</t>
  </si>
  <si>
    <t>1.Nhập chữ/số vào field với độ dài= 100 ký tự
2. Nhập giá trị hợp lệ vào tất cả các trường còn lại.
3. Nhấn  button  [Sign Up]</t>
  </si>
  <si>
    <t>DK_021</t>
  </si>
  <si>
    <t>Nhập chữ/số/ký tự đặc biệt ( có thể bao gồm cả space, chữ hoa… ) vào field "Mật khẩu " với độ dài hợp lệ</t>
  </si>
  <si>
    <t>1. Nhập chữ/số/space/ký tự đặc biết vào field "Mật Khẩu" có độ dài trong khoảng từ 8 đến 30 ký tự 
2. Nhập giá trị hợp lệ vào tất cả các trường còn lại.
3. Nhấn  button  [Sign Up]</t>
  </si>
  <si>
    <t>DK_022</t>
  </si>
  <si>
    <t>Nhập mật khẩu đơn giản</t>
  </si>
  <si>
    <t>1.Nhập Mật khẩu toàn số, độ dài hợp lệ
2. Nhập giá trị hợp lệ vào tất cả các trường còn lại.
3. Nhấn  button  [Sign Up]</t>
  </si>
  <si>
    <t>Màn hình hiển thị 2 thông báo : 
"This password is too common."
"This password is entirely numeric."</t>
  </si>
  <si>
    <t>4. Nhập lại mật khẩu</t>
  </si>
  <si>
    <t>DK_023</t>
  </si>
  <si>
    <t>Để trống field "Password (Again)"</t>
  </si>
  <si>
    <t>1. Để trống field "Password (Again)"
2. Nhập giá trị hợp lệ vào tất cả các trường còn lại.
3. Nhấn  button  [Sign Up]</t>
  </si>
  <si>
    <t>Hiển thị error message dưới field "Password (Again)" với nội dung :
 "Please fill out this field"
- Highlight và focus vào field bị lỗi</t>
  </si>
  <si>
    <t>DK_024</t>
  </si>
  <si>
    <t>Check hiển thị ở field "Password (Again)"</t>
  </si>
  <si>
    <t>1. Nhập data vào field  "Password (Again)"
2. Quan sát hiển thị data ở field đó</t>
  </si>
  <si>
    <t>2. Mật khẩu vừa nhập có định dạng : ***</t>
  </si>
  <si>
    <t>DK_025</t>
  </si>
  <si>
    <t>Nhập mật khẩu không trùng khớp với mật khẩu đã nhập ở field "Password"</t>
  </si>
  <si>
    <t>1. Nhập mật khẩu vào field "Password (Again)" sao cho mật khẩu này không trùng khớp với mật khẩu đã nhập ở field "Password"
2. Nhập giá trị hợp lệ vào tất cả các trường còn lại.
3. Nhấn  button  [Sign Up]</t>
  </si>
  <si>
    <r>
      <rPr>
        <sz val="11"/>
        <color theme="1"/>
        <rFont val="Calibri"/>
        <charset val="134"/>
        <scheme val="minor"/>
      </rPr>
      <t xml:space="preserve">
3. Hiển thị error message dưới field "Password (Again)" với nội dung :
 "</t>
    </r>
    <r>
      <rPr>
        <i/>
        <sz val="11"/>
        <color theme="1"/>
        <rFont val="Calibri"/>
        <charset val="134"/>
        <scheme val="minor"/>
      </rPr>
      <t>You must type the same password each time.</t>
    </r>
    <r>
      <rPr>
        <sz val="11"/>
        <color theme="1"/>
        <rFont val="Calibri"/>
        <charset val="134"/>
        <scheme val="minor"/>
      </rPr>
      <t>"
- Highlight và focus vào field bị lỗi</t>
    </r>
  </si>
  <si>
    <t>DK_026</t>
  </si>
  <si>
    <t>Nhập mật khẩu trùng khớp với mật khẩu đã nhập ở filed "Password"</t>
  </si>
  <si>
    <t>1. Nhập mật khẩu vào field "Nhập lại mật khẩu" sao cho mật khẩu này phải  trùng khớp với mật khẩu đã nhập ở field "Mật khẩu "
2. Nhập giá trị hợp lệ vào tất cả các trường còn lại.
3. Nhấn  button  [Sign Up]</t>
  </si>
  <si>
    <t>Màn hình hiển thị "Successfully signed in as &lt;tên email&gt;" và tự động điều hướng về trang chủ và sign in
&gt;&gt;Password đã được lưu trong DB dưới dạng mã hóa</t>
  </si>
  <si>
    <t>III. Kiểm thử chức năng Đăng Ký (Functional Testing)</t>
  </si>
  <si>
    <t>DK_027</t>
  </si>
  <si>
    <t>Đăng ký thành công bằng button [Sign Up]</t>
  </si>
  <si>
    <t xml:space="preserve">1. Nhập dữ liệu hợp lệ vào tất cả các field 
2. Nhấn [Sign Up] </t>
  </si>
  <si>
    <t>DK_028</t>
  </si>
  <si>
    <t>Mất kết nối server khi nhấn [Sign Up]</t>
  </si>
  <si>
    <t>1. Nhập dữ liệu hợp lệ 
2. Nhấn [Sign Up] khi mất kết nối server</t>
  </si>
  <si>
    <t>Hiển thị thông báo lỗi</t>
  </si>
  <si>
    <t>DK_029</t>
  </si>
  <si>
    <t>Bỏ trống tất cả các field bắt buộc</t>
  </si>
  <si>
    <t>1. Để trống tất cả các field bắt buộc 
2. Nhấn [Sign Up]</t>
  </si>
  <si>
    <t>Hiển thị error message dưới field "Mật khẩu " với nội dung :
 "Please fill out this field"
- Highlight và focus vào field bị lỗi đầu tiên</t>
  </si>
  <si>
    <t>I. Check UI/UX của màn hình "Đăng Nhập"</t>
  </si>
  <si>
    <t>DN_001</t>
  </si>
  <si>
    <t>Kiểm tra giao diện mặc định của màn hình "Log in"</t>
  </si>
  <si>
    <t>1. Truy cập http://127.0.0.1:8000/ 
2. Điều hướng đến màn hình "Log in" 
3. Kiểm tra giao diện mặc định</t>
  </si>
  <si>
    <t xml:space="preserve">UI mặc định của màn hình "Log in" được hiển thị đúng như ảnh dưới đây:
</t>
  </si>
  <si>
    <t>DN_002</t>
  </si>
  <si>
    <t>Kiểm tra bố cục, căn chỉnh các field</t>
  </si>
  <si>
    <t>1. Kiểm tra bố cục, căn chỉnh các field (Email, Mật khẩu) 
2. Kiểm tra font, size, màu sắc, placeholder, icon</t>
  </si>
  <si>
    <t>Các field được căn chỉnh hợp lý, font/size/màu sắc đồng nhất với thiết kế</t>
  </si>
  <si>
    <t>DN_003</t>
  </si>
  <si>
    <t>1. Focus vào field "Email" 
2. Nhấn "Tab" liên tục</t>
  </si>
  <si>
    <t>Con trỏ chuột di chuyển từ Email sang Mật khẩu</t>
  </si>
  <si>
    <t>DN_004</t>
  </si>
  <si>
    <t>1. Focus vào field "Mật khẩu" 
2. Nhấn "Shift+Tab"</t>
  </si>
  <si>
    <t>Con trỏ chuột di chuyển từ Mật khẩu sang Email</t>
  </si>
  <si>
    <t>II. Kiểm thử đơn vị và hộp đen - Validation các field (Unit &amp; Black-box Testing)-Đăng nhập</t>
  </si>
  <si>
    <t>DN_005</t>
  </si>
  <si>
    <t>1. Để trống field "Email"
2. Nhập giá trị hợp lệ vào tất cả các trường còn lại.
3. Nhấn  button  [Sign Up]</t>
  </si>
  <si>
    <t>DN_006</t>
  </si>
  <si>
    <t>Nhập email không tồn tại</t>
  </si>
  <si>
    <t>1. Nhập email không tồn tại trong DB 
2. Nhập mật khẩu hợp lệ 
3. Nhấn [Log in]</t>
  </si>
  <si>
    <t>Hiển thị thông báo lỗi: "The e-mail address and/or password you specified are not correct."</t>
  </si>
  <si>
    <t>DN_007</t>
  </si>
  <si>
    <t>Nhập email sai định dạng</t>
  </si>
  <si>
    <t>1. Nhập "user@abc" vào "Email" 
2. Nhập mật khẩu hợp lệ 
3. Nhấn [Log in]</t>
  </si>
  <si>
    <t>Hiển thị thông báo lỗi yêu cầu nhập đúng định dạng mail</t>
  </si>
  <si>
    <t>DN_008</t>
  </si>
  <si>
    <t xml:space="preserve">Nhập space vào trước/ sau Email </t>
  </si>
  <si>
    <t>1. Nhập " user@gmail.com " vào "Email" 
2. Nhập mật khẩu hợp lệ 
3. Nhấn [Log in]</t>
  </si>
  <si>
    <t>Hệ thống loại bỏ khoảng trắng, đăng nhập thành công</t>
  </si>
  <si>
    <t>2. Mật khẩu</t>
  </si>
  <si>
    <t>DN_009</t>
  </si>
  <si>
    <t>1. Nhập email hợp lệ 
2. Để trống "Mật khẩu" 
3. Nhấn [Log in]</t>
  </si>
  <si>
    <t xml:space="preserve">
Hiển thị error message dưới field "Password" với nội dung :
 "Please fill out this field"
- Highlight và focus vào field bị lỗi</t>
  </si>
  <si>
    <t>DN_010</t>
  </si>
  <si>
    <t>Kiểm tra hiển thị mật khẩu</t>
  </si>
  <si>
    <t>1. Nhập dữ liệu vào "Mật khẩu" 
2. Quan sát hiển thị</t>
  </si>
  <si>
    <t>Dữ liệu hiển thị dưới dạng mã hóa ***</t>
  </si>
  <si>
    <t>DN_011</t>
  </si>
  <si>
    <t>Nhập mật khẩu sai</t>
  </si>
  <si>
    <t>1. Nhập email hợp lệ 
2. Nhập mật khẩu sai 
3. Nhấn [Log in]</t>
  </si>
  <si>
    <t>III. Kiểm thử chức năng đăng nhập (Functional Testing)</t>
  </si>
  <si>
    <t>DN_012</t>
  </si>
  <si>
    <t>đăng nhập thành công bằng button [Log in]</t>
  </si>
  <si>
    <t xml:space="preserve">1. Nhập dữ liệu hợp lệ vào tất cả các field 
2. Nhấn [Log in] </t>
  </si>
  <si>
    <t>DN_013</t>
  </si>
  <si>
    <t>Mất kết nối server khi nhấn [Log in]</t>
  </si>
  <si>
    <t>1. Nhập dữ liệu hợp lệ 
2. Nhấn [Log in] khi mất kết nối server</t>
  </si>
  <si>
    <t>DN_014</t>
  </si>
  <si>
    <t>1. Để trống tất cả các field bắt buộc 
2. Nhấn [Log in]</t>
  </si>
  <si>
    <t>Hiển thị error message dưới field đầu tiên với nội dung :
 "Please fill out this field"
- Highlight và focus vào field bị lỗi</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</si>
</sst>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 numFmtId="179" formatCode="mm/dd/yy"/>
  </numFmts>
  <fonts count="53">
    <font>
      <sz val="11"/>
      <color theme="1"/>
      <name val="Calibri"/>
      <charset val="134"/>
      <scheme val="minor"/>
    </font>
    <font>
      <sz val="10"/>
      <name val="Arial"/>
      <charset val="134"/>
    </font>
    <font>
      <b/>
      <sz val="11"/>
      <color theme="1"/>
      <name val="Calibri"/>
      <charset val="134"/>
    </font>
    <font>
      <sz val="11"/>
      <color theme="1"/>
      <name val="Calibri"/>
      <charset val="134"/>
    </font>
    <font>
      <sz val="11"/>
      <color rgb="FFFFFFFF"/>
      <name val="Calibri"/>
      <charset val="134"/>
      <scheme val="minor"/>
    </font>
    <font>
      <sz val="11"/>
      <name val="Calibri"/>
      <charset val="134"/>
      <scheme val="minor"/>
    </font>
    <font>
      <sz val="11"/>
      <color theme="1"/>
      <name val="Calibri"/>
      <charset val="134"/>
      <scheme val="minor"/>
    </font>
    <font>
      <sz val="11"/>
      <color rgb="FF000000"/>
      <name val="Calibri"/>
      <charset val="134"/>
      <scheme val="minor"/>
    </font>
    <font>
      <sz val="11"/>
      <color theme="0"/>
      <name val="Calibri"/>
      <charset val="134"/>
      <scheme val="minor"/>
    </font>
    <font>
      <i/>
      <sz val="11"/>
      <color theme="1"/>
      <name val="Calibri"/>
      <charset val="134"/>
      <scheme val="minor"/>
    </font>
    <font>
      <b/>
      <sz val="10"/>
      <color theme="1"/>
      <name val="Times New Roman"/>
      <charset val="134"/>
    </font>
    <font>
      <sz val="10"/>
      <color theme="1"/>
      <name val="Times New Roman"/>
      <charset val="134"/>
    </font>
    <font>
      <b/>
      <sz val="11"/>
      <color theme="1"/>
      <name val="Calibri"/>
      <charset val="134"/>
      <scheme val="minor"/>
    </font>
    <font>
      <sz val="11"/>
      <color theme="1"/>
      <name val="SimSun"/>
      <charset val="134"/>
    </font>
    <font>
      <b/>
      <sz val="11"/>
      <color theme="1"/>
      <name val="Times New Roman"/>
      <charset val="134"/>
    </font>
    <font>
      <sz val="12"/>
      <color theme="1"/>
      <name val="SimSun"/>
      <charset val="134"/>
    </font>
    <font>
      <b/>
      <sz val="12"/>
      <color theme="1"/>
      <name val="SimSun"/>
      <charset val="134"/>
    </font>
    <font>
      <b/>
      <sz val="18"/>
      <color indexed="18"/>
      <name val="Arial"/>
      <charset val="134"/>
    </font>
    <font>
      <sz val="10"/>
      <color indexed="16"/>
      <name val="Arial"/>
      <charset val="134"/>
    </font>
    <font>
      <i/>
      <sz val="10"/>
      <color indexed="21"/>
      <name val="Arial"/>
      <charset val="134"/>
    </font>
    <font>
      <b/>
      <sz val="10"/>
      <color indexed="9"/>
      <name val="Arial"/>
      <charset val="134"/>
    </font>
    <font>
      <b/>
      <sz val="10"/>
      <color indexed="16"/>
      <name val="Arial"/>
      <charset val="134"/>
    </font>
    <font>
      <sz val="10"/>
      <name val="Wingdings 2"/>
      <charset val="2"/>
    </font>
    <font>
      <sz val="10"/>
      <color indexed="8"/>
      <name val="Arial"/>
      <charset val="134"/>
    </font>
    <font>
      <b/>
      <sz val="10"/>
      <name val="Arial"/>
      <charset val="134"/>
    </font>
    <font>
      <sz val="10"/>
      <color indexed="10"/>
      <name val="Arial"/>
      <charset val="134"/>
    </font>
    <font>
      <i/>
      <sz val="10"/>
      <name val="Arial"/>
      <charset val="134"/>
    </font>
    <font>
      <b/>
      <sz val="10"/>
      <color indexed="18"/>
      <name val="Arial"/>
      <charset val="134"/>
    </font>
    <font>
      <sz val="18"/>
      <color indexed="18"/>
      <name val="Arial"/>
      <charset val="134"/>
    </font>
    <font>
      <u/>
      <sz val="11"/>
      <color rgb="FF800080"/>
      <name val="Calibri"/>
      <charset val="134"/>
      <scheme val="minor"/>
    </font>
    <font>
      <u/>
      <sz val="11"/>
      <color rgb="FF0000FF"/>
      <name val="Calibri"/>
      <charset val="134"/>
      <scheme val="minor"/>
    </font>
    <font>
      <b/>
      <sz val="10"/>
      <color theme="1"/>
      <name val="&quot;Times New Roman&quot;"/>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color rgb="FF000000"/>
      <name val="Calibri"/>
      <charset val="134"/>
      <scheme val="minor"/>
    </font>
    <font>
      <i/>
      <sz val="11"/>
      <color rgb="FF000000"/>
      <name val="Calibri"/>
      <charset val="134"/>
      <scheme val="minor"/>
    </font>
    <font>
      <sz val="11"/>
      <color rgb="FF000000"/>
      <name val="Calibri"/>
      <charset val="0"/>
      <scheme val="minor"/>
    </font>
  </fonts>
  <fills count="41">
    <fill>
      <patternFill patternType="none"/>
    </fill>
    <fill>
      <patternFill patternType="gray125"/>
    </fill>
    <fill>
      <patternFill patternType="solid">
        <fgColor rgb="FF45818E"/>
        <bgColor rgb="FF45818E"/>
      </patternFill>
    </fill>
    <fill>
      <patternFill patternType="solid">
        <fgColor rgb="FF6AA84F"/>
        <bgColor rgb="FF6AA84F"/>
      </patternFill>
    </fill>
    <fill>
      <patternFill patternType="solid">
        <fgColor rgb="FFA8D08D"/>
        <bgColor rgb="FFA8D08D"/>
      </patternFill>
    </fill>
    <fill>
      <patternFill patternType="solid">
        <fgColor rgb="FFFFFFFF"/>
        <bgColor rgb="FFFFFFFF"/>
      </patternFill>
    </fill>
    <fill>
      <patternFill patternType="solid">
        <fgColor rgb="FFCCFFCC"/>
        <bgColor rgb="FFCCFFCC"/>
      </patternFill>
    </fill>
    <fill>
      <patternFill patternType="solid">
        <fgColor indexed="18"/>
        <bgColor indexed="64"/>
      </patternFill>
    </fill>
    <fill>
      <patternFill patternType="solid">
        <fgColor indexed="41"/>
        <bgColor indexed="64"/>
      </patternFill>
    </fill>
    <fill>
      <patternFill patternType="solid">
        <fgColor rgb="FF00CCFF"/>
        <bgColor rgb="FF00CC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4">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top/>
      <bottom style="hair">
        <color indexed="18"/>
      </bottom>
      <diagonal/>
    </border>
    <border>
      <left style="hair">
        <color indexed="18"/>
      </left>
      <right style="hair">
        <color indexed="18"/>
      </right>
      <top style="hair">
        <color indexed="18"/>
      </top>
      <bottom/>
      <diagonal/>
    </border>
    <border>
      <left style="hair">
        <color indexed="18"/>
      </left>
      <right style="hair">
        <color indexed="18"/>
      </right>
      <top style="hair">
        <color indexed="18"/>
      </top>
      <bottom style="hair">
        <color indexed="18"/>
      </bottom>
      <diagonal/>
    </border>
    <border>
      <left style="hair">
        <color indexed="18"/>
      </left>
      <right style="thin">
        <color indexed="18"/>
      </right>
      <top style="hair">
        <color indexed="18"/>
      </top>
      <bottom style="hair">
        <color indexed="18"/>
      </bottom>
      <diagonal/>
    </border>
    <border>
      <left style="thin">
        <color indexed="18"/>
      </left>
      <right style="thin">
        <color indexed="18"/>
      </right>
      <top style="thin">
        <color indexed="18"/>
      </top>
      <bottom style="hair">
        <color indexed="18"/>
      </bottom>
      <diagonal/>
    </border>
    <border>
      <left/>
      <right style="hair">
        <color indexed="18"/>
      </right>
      <top style="hair">
        <color indexed="18"/>
      </top>
      <bottom style="hair">
        <color indexed="18"/>
      </bottom>
      <diagonal/>
    </border>
    <border>
      <left style="thin">
        <color indexed="18"/>
      </left>
      <right style="thin">
        <color indexed="18"/>
      </right>
      <top style="hair">
        <color indexed="18"/>
      </top>
      <bottom style="hair">
        <color indexed="18"/>
      </bottom>
      <diagonal/>
    </border>
    <border>
      <left style="thin">
        <color indexed="18"/>
      </left>
      <right style="thin">
        <color indexed="18"/>
      </right>
      <top style="hair">
        <color indexed="18"/>
      </top>
      <bottom style="thin">
        <color indexed="18"/>
      </bottom>
      <diagonal/>
    </border>
    <border>
      <left/>
      <right style="hair">
        <color indexed="18"/>
      </right>
      <top style="hair">
        <color indexed="18"/>
      </top>
      <bottom style="thin">
        <color indexed="18"/>
      </bottom>
      <diagonal/>
    </border>
    <border>
      <left style="hair">
        <color indexed="18"/>
      </left>
      <right style="hair">
        <color indexed="18"/>
      </right>
      <top style="hair">
        <color indexed="18"/>
      </top>
      <bottom style="thin">
        <color indexed="18"/>
      </bottom>
      <diagonal/>
    </border>
    <border>
      <left style="hair">
        <color indexed="18"/>
      </left>
      <right style="thin">
        <color indexed="18"/>
      </right>
      <top style="hair">
        <color indexed="18"/>
      </top>
      <bottom style="thin">
        <color indexed="18"/>
      </bottom>
      <diagonal/>
    </border>
    <border>
      <left style="medium">
        <color indexed="32"/>
      </left>
      <right style="hair">
        <color indexed="32"/>
      </right>
      <top style="medium">
        <color indexed="32"/>
      </top>
      <bottom/>
      <diagonal/>
    </border>
    <border>
      <left style="hair">
        <color indexed="32"/>
      </left>
      <right style="hair">
        <color indexed="32"/>
      </right>
      <top style="medium">
        <color indexed="32"/>
      </top>
      <bottom/>
      <diagonal/>
    </border>
    <border>
      <left style="hair">
        <color auto="1"/>
      </left>
      <right style="hair">
        <color auto="1"/>
      </right>
      <top style="hair">
        <color auto="1"/>
      </top>
      <bottom style="hair">
        <color auto="1"/>
      </bottom>
      <diagonal/>
    </border>
    <border>
      <left/>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0" fillId="0" borderId="0">
      <alignment vertical="center"/>
    </xf>
    <xf numFmtId="0" fontId="32" fillId="0" borderId="0" applyNumberFormat="0" applyFill="0" applyBorder="0" applyAlignment="0" applyProtection="0">
      <alignment vertical="center"/>
    </xf>
    <xf numFmtId="0" fontId="0" fillId="10" borderId="36" applyNumberFormat="0" applyFont="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37" applyNumberFormat="0" applyFill="0" applyAlignment="0" applyProtection="0">
      <alignment vertical="center"/>
    </xf>
    <xf numFmtId="0" fontId="37" fillId="0" borderId="37" applyNumberFormat="0" applyFill="0" applyAlignment="0" applyProtection="0">
      <alignment vertical="center"/>
    </xf>
    <xf numFmtId="0" fontId="38" fillId="0" borderId="38" applyNumberFormat="0" applyFill="0" applyAlignment="0" applyProtection="0">
      <alignment vertical="center"/>
    </xf>
    <xf numFmtId="0" fontId="38" fillId="0" borderId="0" applyNumberFormat="0" applyFill="0" applyBorder="0" applyAlignment="0" applyProtection="0">
      <alignment vertical="center"/>
    </xf>
    <xf numFmtId="0" fontId="39" fillId="11" borderId="39" applyNumberFormat="0" applyAlignment="0" applyProtection="0">
      <alignment vertical="center"/>
    </xf>
    <xf numFmtId="0" fontId="40" fillId="12" borderId="40" applyNumberFormat="0" applyAlignment="0" applyProtection="0">
      <alignment vertical="center"/>
    </xf>
    <xf numFmtId="0" fontId="41" fillId="12" borderId="39" applyNumberFormat="0" applyAlignment="0" applyProtection="0">
      <alignment vertical="center"/>
    </xf>
    <xf numFmtId="0" fontId="42" fillId="13" borderId="41" applyNumberFormat="0" applyAlignment="0" applyProtection="0">
      <alignment vertical="center"/>
    </xf>
    <xf numFmtId="0" fontId="43" fillId="0" borderId="42" applyNumberFormat="0" applyFill="0" applyAlignment="0" applyProtection="0">
      <alignment vertical="center"/>
    </xf>
    <xf numFmtId="0" fontId="44" fillId="0" borderId="43" applyNumberFormat="0" applyFill="0" applyAlignment="0" applyProtection="0">
      <alignment vertical="center"/>
    </xf>
    <xf numFmtId="0" fontId="45" fillId="14" borderId="0" applyNumberFormat="0" applyBorder="0" applyAlignment="0" applyProtection="0">
      <alignment vertical="center"/>
    </xf>
    <xf numFmtId="0" fontId="46" fillId="15" borderId="0" applyNumberFormat="0" applyBorder="0" applyAlignment="0" applyProtection="0">
      <alignment vertical="center"/>
    </xf>
    <xf numFmtId="0" fontId="47" fillId="16" borderId="0" applyNumberFormat="0" applyBorder="0" applyAlignment="0" applyProtection="0">
      <alignment vertical="center"/>
    </xf>
    <xf numFmtId="0" fontId="48" fillId="17" borderId="0" applyNumberFormat="0" applyBorder="0" applyAlignment="0" applyProtection="0">
      <alignment vertical="center"/>
    </xf>
    <xf numFmtId="0" fontId="49" fillId="18" borderId="0" applyNumberFormat="0" applyBorder="0" applyAlignment="0" applyProtection="0">
      <alignment vertical="center"/>
    </xf>
    <xf numFmtId="0" fontId="49" fillId="19" borderId="0" applyNumberFormat="0" applyBorder="0" applyAlignment="0" applyProtection="0">
      <alignment vertical="center"/>
    </xf>
    <xf numFmtId="0" fontId="48" fillId="20" borderId="0" applyNumberFormat="0" applyBorder="0" applyAlignment="0" applyProtection="0">
      <alignment vertical="center"/>
    </xf>
    <xf numFmtId="0" fontId="48" fillId="21" borderId="0" applyNumberFormat="0" applyBorder="0" applyAlignment="0" applyProtection="0">
      <alignment vertical="center"/>
    </xf>
    <xf numFmtId="0" fontId="49" fillId="22" borderId="0" applyNumberFormat="0" applyBorder="0" applyAlignment="0" applyProtection="0">
      <alignment vertical="center"/>
    </xf>
    <xf numFmtId="0" fontId="49" fillId="23" borderId="0" applyNumberFormat="0" applyBorder="0" applyAlignment="0" applyProtection="0">
      <alignment vertical="center"/>
    </xf>
    <xf numFmtId="0" fontId="48" fillId="24" borderId="0" applyNumberFormat="0" applyBorder="0" applyAlignment="0" applyProtection="0">
      <alignment vertical="center"/>
    </xf>
    <xf numFmtId="0" fontId="48" fillId="25" borderId="0" applyNumberFormat="0" applyBorder="0" applyAlignment="0" applyProtection="0">
      <alignment vertical="center"/>
    </xf>
    <xf numFmtId="0" fontId="49" fillId="26" borderId="0" applyNumberFormat="0" applyBorder="0" applyAlignment="0" applyProtection="0">
      <alignment vertical="center"/>
    </xf>
    <xf numFmtId="0" fontId="49" fillId="27" borderId="0" applyNumberFormat="0" applyBorder="0" applyAlignment="0" applyProtection="0">
      <alignment vertical="center"/>
    </xf>
    <xf numFmtId="0" fontId="48" fillId="28" borderId="0" applyNumberFormat="0" applyBorder="0" applyAlignment="0" applyProtection="0">
      <alignment vertical="center"/>
    </xf>
    <xf numFmtId="0" fontId="48" fillId="29" borderId="0" applyNumberFormat="0" applyBorder="0" applyAlignment="0" applyProtection="0">
      <alignment vertical="center"/>
    </xf>
    <xf numFmtId="0" fontId="49" fillId="30" borderId="0" applyNumberFormat="0" applyBorder="0" applyAlignment="0" applyProtection="0">
      <alignment vertical="center"/>
    </xf>
    <xf numFmtId="0" fontId="49" fillId="31" borderId="0" applyNumberFormat="0" applyBorder="0" applyAlignment="0" applyProtection="0">
      <alignment vertical="center"/>
    </xf>
    <xf numFmtId="0" fontId="48" fillId="32" borderId="0" applyNumberFormat="0" applyBorder="0" applyAlignment="0" applyProtection="0">
      <alignment vertical="center"/>
    </xf>
    <xf numFmtId="0" fontId="48" fillId="33" borderId="0" applyNumberFormat="0" applyBorder="0" applyAlignment="0" applyProtection="0">
      <alignment vertical="center"/>
    </xf>
    <xf numFmtId="0" fontId="49" fillId="34" borderId="0" applyNumberFormat="0" applyBorder="0" applyAlignment="0" applyProtection="0">
      <alignment vertical="center"/>
    </xf>
    <xf numFmtId="0" fontId="49" fillId="35" borderId="0" applyNumberFormat="0" applyBorder="0" applyAlignment="0" applyProtection="0">
      <alignment vertical="center"/>
    </xf>
    <xf numFmtId="0" fontId="48" fillId="36" borderId="0" applyNumberFormat="0" applyBorder="0" applyAlignment="0" applyProtection="0">
      <alignment vertical="center"/>
    </xf>
    <xf numFmtId="0" fontId="48" fillId="37" borderId="0" applyNumberFormat="0" applyBorder="0" applyAlignment="0" applyProtection="0">
      <alignment vertical="center"/>
    </xf>
    <xf numFmtId="0" fontId="49" fillId="38" borderId="0" applyNumberFormat="0" applyBorder="0" applyAlignment="0" applyProtection="0">
      <alignment vertical="center"/>
    </xf>
    <xf numFmtId="0" fontId="49" fillId="39" borderId="0" applyNumberFormat="0" applyBorder="0" applyAlignment="0" applyProtection="0">
      <alignment vertical="center"/>
    </xf>
    <xf numFmtId="0" fontId="48" fillId="40" borderId="0" applyNumberFormat="0" applyBorder="0" applyAlignment="0" applyProtection="0">
      <alignment vertical="center"/>
    </xf>
    <xf numFmtId="0" fontId="50" fillId="0" borderId="0"/>
  </cellStyleXfs>
  <cellXfs count="157">
    <xf numFmtId="0" fontId="0" fillId="0" borderId="0" xfId="0" applyAlignment="1">
      <alignment vertical="center"/>
    </xf>
    <xf numFmtId="0" fontId="1" fillId="0" borderId="0" xfId="0" applyFont="1" applyAlignment="1">
      <alignment vertical="center" wrapText="1"/>
    </xf>
    <xf numFmtId="0" fontId="1" fillId="0" borderId="0" xfId="0" applyFont="1" applyAlignment="1">
      <alignment horizontal="right" wrapText="1"/>
    </xf>
    <xf numFmtId="0" fontId="1" fillId="0" borderId="0" xfId="0" applyFont="1" applyAlignment="1">
      <alignment horizontal="center" vertical="top" wrapText="1"/>
    </xf>
    <xf numFmtId="0" fontId="2" fillId="0" borderId="1" xfId="0" applyFont="1" applyBorder="1" applyAlignment="1">
      <alignment wrapText="1"/>
    </xf>
    <xf numFmtId="0" fontId="3" fillId="0" borderId="2" xfId="0" applyFont="1" applyBorder="1" applyAlignment="1">
      <alignment vertical="center" wrapText="1"/>
    </xf>
    <xf numFmtId="0" fontId="3" fillId="0" borderId="0" xfId="0" applyFont="1" applyAlignment="1">
      <alignment vertical="center" wrapText="1"/>
    </xf>
    <xf numFmtId="0" fontId="3" fillId="0" borderId="0" xfId="0" applyFont="1" applyAlignment="1">
      <alignment wrapText="1"/>
    </xf>
    <xf numFmtId="0" fontId="2" fillId="0" borderId="3" xfId="0" applyFont="1" applyBorder="1" applyAlignment="1">
      <alignment wrapText="1"/>
    </xf>
    <xf numFmtId="0" fontId="2" fillId="0" borderId="2" xfId="0" applyFont="1" applyBorder="1" applyAlignment="1">
      <alignment horizontal="center" vertical="center" wrapText="1"/>
    </xf>
    <xf numFmtId="0" fontId="2" fillId="0" borderId="0" xfId="0" applyFont="1" applyAlignment="1">
      <alignment horizontal="center" vertical="center" wrapText="1"/>
    </xf>
    <xf numFmtId="0" fontId="2" fillId="0" borderId="4" xfId="0" applyFont="1" applyBorder="1" applyAlignment="1">
      <alignment wrapText="1"/>
    </xf>
    <xf numFmtId="0" fontId="0" fillId="0" borderId="0" xfId="0" applyAlignment="1">
      <alignment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5" fillId="0" borderId="5" xfId="0" applyFont="1" applyBorder="1" applyAlignment="1">
      <alignment horizontal="center" vertical="center" wrapText="1"/>
    </xf>
    <xf numFmtId="0" fontId="4" fillId="2" borderId="8"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0" borderId="2" xfId="0" applyFont="1" applyBorder="1" applyAlignment="1">
      <alignment horizontal="center" vertical="center" wrapText="1"/>
    </xf>
    <xf numFmtId="0" fontId="7" fillId="0" borderId="2" xfId="0" applyFont="1" applyBorder="1" applyAlignment="1">
      <alignment horizontal="center" vertical="center" wrapText="1"/>
    </xf>
    <xf numFmtId="0" fontId="7" fillId="0" borderId="2" xfId="0" applyFont="1" applyBorder="1" applyAlignment="1">
      <alignment horizontal="left" vertical="top" wrapText="1"/>
    </xf>
    <xf numFmtId="0" fontId="8" fillId="4" borderId="2"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5" fillId="0" borderId="2"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9" fillId="0" borderId="2" xfId="0" applyFont="1" applyBorder="1" applyAlignment="1">
      <alignment horizontal="center" vertical="center" wrapText="1"/>
    </xf>
    <xf numFmtId="0" fontId="6" fillId="0" borderId="12" xfId="0" applyFont="1" applyBorder="1" applyAlignment="1">
      <alignment horizontal="center" vertical="center" wrapText="1"/>
    </xf>
    <xf numFmtId="0" fontId="8" fillId="4" borderId="1" xfId="0" applyFont="1" applyFill="1" applyBorder="1" applyAlignment="1">
      <alignment horizontal="center" vertical="center" wrapText="1"/>
    </xf>
    <xf numFmtId="0" fontId="8" fillId="4" borderId="12" xfId="0" applyFont="1" applyFill="1" applyBorder="1" applyAlignment="1">
      <alignment horizontal="center" vertical="center" wrapText="1"/>
    </xf>
    <xf numFmtId="0" fontId="0" fillId="0" borderId="0" xfId="0" applyAlignment="1"/>
    <xf numFmtId="0" fontId="0" fillId="0" borderId="0" xfId="0" applyAlignment="1">
      <alignment horizontal="center" vertical="center"/>
    </xf>
    <xf numFmtId="0" fontId="10" fillId="5" borderId="13" xfId="0" applyFont="1" applyFill="1" applyBorder="1" applyAlignment="1">
      <alignment vertical="center" wrapText="1"/>
    </xf>
    <xf numFmtId="0" fontId="11" fillId="5" borderId="13" xfId="0" applyFont="1" applyFill="1" applyBorder="1" applyAlignment="1">
      <alignment vertical="center"/>
    </xf>
    <xf numFmtId="0" fontId="11" fillId="6" borderId="13" xfId="0" applyFont="1" applyFill="1" applyBorder="1" applyAlignment="1">
      <alignment horizontal="center" vertical="center"/>
    </xf>
    <xf numFmtId="0" fontId="12" fillId="0" borderId="2" xfId="0" applyFont="1" applyBorder="1" applyAlignment="1">
      <alignment horizontal="center" vertical="center" wrapText="1"/>
    </xf>
    <xf numFmtId="0" fontId="0" fillId="0" borderId="2" xfId="0" applyBorder="1" applyAlignment="1">
      <alignment vertical="center" wrapText="1"/>
    </xf>
    <xf numFmtId="0" fontId="11" fillId="5" borderId="13" xfId="0" applyFont="1" applyFill="1" applyBorder="1" applyAlignment="1">
      <alignment vertical="center" wrapText="1"/>
    </xf>
    <xf numFmtId="0" fontId="11" fillId="6" borderId="13" xfId="0" applyFont="1" applyFill="1" applyBorder="1" applyAlignment="1">
      <alignment horizontal="center" vertical="center" wrapText="1"/>
    </xf>
    <xf numFmtId="0" fontId="13" fillId="0" borderId="0" xfId="0" applyFont="1" applyAlignment="1">
      <alignment vertical="center"/>
    </xf>
    <xf numFmtId="0" fontId="14" fillId="0" borderId="0" xfId="0" applyFont="1" applyAlignment="1">
      <alignment horizontal="left" vertical="center"/>
    </xf>
    <xf numFmtId="0" fontId="0" fillId="0" borderId="0" xfId="0" applyAlignment="1">
      <alignment horizontal="left" vertical="center"/>
    </xf>
    <xf numFmtId="0" fontId="13" fillId="0" borderId="0" xfId="0" applyFont="1" applyAlignment="1">
      <alignment horizontal="left" vertical="center" wrapText="1"/>
    </xf>
    <xf numFmtId="0" fontId="12" fillId="0" borderId="2" xfId="0" applyFont="1" applyBorder="1" applyAlignment="1">
      <alignment horizontal="center" vertical="center" wrapText="1"/>
    </xf>
    <xf numFmtId="0" fontId="0" fillId="0" borderId="2" xfId="0" applyBorder="1" applyAlignment="1">
      <alignment vertical="center" wrapText="1"/>
    </xf>
    <xf numFmtId="0" fontId="0" fillId="0" borderId="0" xfId="0" applyAlignment="1">
      <alignment vertical="center" wrapText="1"/>
    </xf>
    <xf numFmtId="0" fontId="15" fillId="0" borderId="0" xfId="0" applyFont="1" applyAlignment="1">
      <alignment vertical="center"/>
    </xf>
    <xf numFmtId="0" fontId="16" fillId="0" borderId="0" xfId="0" applyFont="1" applyAlignment="1">
      <alignment horizontal="center" vertical="center" wrapText="1"/>
    </xf>
    <xf numFmtId="0" fontId="15" fillId="0" borderId="0" xfId="0" applyFont="1" applyAlignment="1">
      <alignment horizontal="left" vertical="center" wrapText="1"/>
    </xf>
    <xf numFmtId="0" fontId="0" fillId="0" borderId="0" xfId="0" applyAlignment="1">
      <alignment horizontal="left" vertical="center" indent="1"/>
    </xf>
    <xf numFmtId="0" fontId="0" fillId="0" borderId="0" xfId="0" applyAlignment="1">
      <alignment horizontal="left"/>
    </xf>
    <xf numFmtId="0" fontId="17" fillId="0" borderId="0" xfId="0" applyFont="1" applyAlignment="1">
      <alignment horizontal="left" vertical="top" wrapText="1"/>
    </xf>
    <xf numFmtId="0" fontId="1" fillId="0" borderId="0" xfId="0" applyFont="1" applyAlignment="1">
      <alignment vertical="top" wrapText="1"/>
    </xf>
    <xf numFmtId="0" fontId="1" fillId="0" borderId="0" xfId="0" applyFont="1" applyAlignment="1">
      <alignment horizontal="left" wrapText="1"/>
    </xf>
    <xf numFmtId="0" fontId="1" fillId="0" borderId="0" xfId="0" applyFont="1" applyAlignment="1">
      <alignment horizontal="right" vertical="top" wrapText="1" indent="2"/>
    </xf>
    <xf numFmtId="0" fontId="18" fillId="0" borderId="0" xfId="0" applyFont="1" applyAlignment="1">
      <alignment horizontal="left" wrapText="1"/>
    </xf>
    <xf numFmtId="178" fontId="18" fillId="0" borderId="0" xfId="0" applyNumberFormat="1" applyFont="1" applyAlignment="1">
      <alignment horizontal="left" wrapText="1"/>
    </xf>
    <xf numFmtId="0" fontId="18" fillId="0" borderId="0" xfId="0" applyFont="1" applyAlignment="1">
      <alignment horizontal="left"/>
    </xf>
    <xf numFmtId="0" fontId="19" fillId="0" borderId="0" xfId="0" applyFont="1" applyAlignment="1">
      <alignment horizontal="left" vertical="center" wrapText="1"/>
    </xf>
    <xf numFmtId="0" fontId="19" fillId="0" borderId="14" xfId="0" applyFont="1" applyBorder="1" applyAlignment="1">
      <alignment horizontal="left" vertical="center" wrapText="1"/>
    </xf>
    <xf numFmtId="0" fontId="20" fillId="7" borderId="15" xfId="0" applyFont="1" applyFill="1" applyBorder="1" applyAlignment="1">
      <alignment horizontal="center" vertical="center" wrapText="1" shrinkToFit="1"/>
    </xf>
    <xf numFmtId="0" fontId="20" fillId="7" borderId="16" xfId="0" applyFont="1" applyFill="1" applyBorder="1" applyAlignment="1">
      <alignment horizontal="center" vertical="center" wrapText="1"/>
    </xf>
    <xf numFmtId="0" fontId="20" fillId="7" borderId="17" xfId="0" applyFont="1" applyFill="1" applyBorder="1" applyAlignment="1">
      <alignment horizontal="center" vertical="center" wrapText="1"/>
    </xf>
    <xf numFmtId="0" fontId="21" fillId="8" borderId="18" xfId="0" applyFont="1" applyFill="1" applyBorder="1" applyAlignment="1">
      <alignment horizontal="left" vertical="top" wrapText="1"/>
    </xf>
    <xf numFmtId="0" fontId="18" fillId="8" borderId="19" xfId="0" applyFont="1" applyFill="1" applyBorder="1" applyAlignment="1">
      <alignment horizontal="center" vertical="top" wrapText="1"/>
    </xf>
    <xf numFmtId="0" fontId="18" fillId="8" borderId="16" xfId="0" applyFont="1" applyFill="1" applyBorder="1" applyAlignment="1">
      <alignment horizontal="center" vertical="top" wrapText="1"/>
    </xf>
    <xf numFmtId="0" fontId="18" fillId="8" borderId="16" xfId="0" applyFont="1" applyFill="1" applyBorder="1" applyAlignment="1">
      <alignment horizontal="left" vertical="top" wrapText="1"/>
    </xf>
    <xf numFmtId="0" fontId="18" fillId="8" borderId="17" xfId="0" applyFont="1" applyFill="1" applyBorder="1" applyAlignment="1">
      <alignment horizontal="center" vertical="top" wrapText="1"/>
    </xf>
    <xf numFmtId="0" fontId="1" fillId="0" borderId="20" xfId="0" applyFont="1" applyBorder="1" applyAlignment="1">
      <alignment vertical="top" wrapText="1"/>
    </xf>
    <xf numFmtId="0" fontId="1" fillId="0" borderId="19" xfId="0" applyFont="1" applyBorder="1" applyAlignment="1">
      <alignment horizontal="center" vertical="top" wrapText="1"/>
    </xf>
    <xf numFmtId="0" fontId="22" fillId="0" borderId="16" xfId="0" applyFont="1" applyBorder="1" applyAlignment="1">
      <alignment horizontal="center" vertical="top" wrapText="1"/>
    </xf>
    <xf numFmtId="0" fontId="1" fillId="0" borderId="16" xfId="0" applyFont="1" applyBorder="1" applyAlignment="1">
      <alignment horizontal="center" vertical="top" wrapText="1"/>
    </xf>
    <xf numFmtId="0" fontId="1" fillId="0" borderId="16" xfId="0" applyFont="1" applyBorder="1" applyAlignment="1">
      <alignment horizontal="left" vertical="center" wrapText="1"/>
    </xf>
    <xf numFmtId="0" fontId="1" fillId="0" borderId="17" xfId="0" applyFont="1" applyBorder="1" applyAlignment="1">
      <alignment horizontal="center" vertical="top" wrapText="1"/>
    </xf>
    <xf numFmtId="0" fontId="1" fillId="0" borderId="20" xfId="0" applyFont="1" applyBorder="1" applyAlignment="1">
      <alignment horizontal="left" vertical="top" wrapText="1" indent="3"/>
    </xf>
    <xf numFmtId="0" fontId="23" fillId="0" borderId="20" xfId="0" applyFont="1" applyBorder="1" applyAlignment="1">
      <alignment horizontal="left" vertical="top" wrapText="1" indent="3"/>
    </xf>
    <xf numFmtId="0" fontId="1" fillId="0" borderId="20" xfId="0" applyFont="1" applyBorder="1" applyAlignment="1">
      <alignment horizontal="left" vertical="top" wrapText="1" indent="5"/>
    </xf>
    <xf numFmtId="0" fontId="24" fillId="8" borderId="20" xfId="0" applyFont="1" applyFill="1" applyBorder="1" applyAlignment="1">
      <alignment horizontal="left" vertical="top" wrapText="1"/>
    </xf>
    <xf numFmtId="0" fontId="1" fillId="8" borderId="16" xfId="0" applyFont="1" applyFill="1" applyBorder="1" applyAlignment="1">
      <alignment horizontal="left" vertical="top" wrapText="1"/>
    </xf>
    <xf numFmtId="0" fontId="1" fillId="8" borderId="17" xfId="0" applyFont="1" applyFill="1" applyBorder="1" applyAlignment="1">
      <alignment horizontal="center" vertical="top" wrapText="1"/>
    </xf>
    <xf numFmtId="0" fontId="1" fillId="0" borderId="16" xfId="0" applyFont="1" applyBorder="1" applyAlignment="1">
      <alignment horizontal="left" wrapText="1"/>
    </xf>
    <xf numFmtId="0" fontId="1" fillId="0" borderId="16" xfId="0" applyFont="1" applyBorder="1" applyAlignment="1">
      <alignment horizontal="left" vertical="top" wrapText="1"/>
    </xf>
    <xf numFmtId="0" fontId="1" fillId="0" borderId="20" xfId="0" applyFont="1" applyBorder="1" applyAlignment="1">
      <alignment horizontal="left" vertical="top" wrapText="1"/>
    </xf>
    <xf numFmtId="0" fontId="23" fillId="0" borderId="16" xfId="0" applyFont="1" applyBorder="1" applyAlignment="1">
      <alignment horizontal="center" vertical="top" wrapText="1"/>
    </xf>
    <xf numFmtId="0" fontId="1" fillId="0" borderId="16" xfId="0" applyFont="1" applyBorder="1" applyAlignment="1">
      <alignment horizontal="center" vertical="top"/>
    </xf>
    <xf numFmtId="0" fontId="1" fillId="0" borderId="17" xfId="0" applyFont="1" applyBorder="1" applyAlignment="1">
      <alignment horizontal="center" vertical="top"/>
    </xf>
    <xf numFmtId="0" fontId="25" fillId="0" borderId="16" xfId="0" applyFont="1" applyBorder="1" applyAlignment="1">
      <alignment horizontal="center" vertical="top" wrapText="1"/>
    </xf>
    <xf numFmtId="0" fontId="1" fillId="0" borderId="19" xfId="0" applyFont="1" applyBorder="1" applyAlignment="1">
      <alignment horizontal="center" vertical="top"/>
    </xf>
    <xf numFmtId="0" fontId="24" fillId="0" borderId="17" xfId="0" applyFont="1" applyBorder="1" applyAlignment="1">
      <alignment horizontal="center" vertical="top" wrapText="1"/>
    </xf>
    <xf numFmtId="0" fontId="1" fillId="8" borderId="19" xfId="0" applyFont="1" applyFill="1" applyBorder="1" applyAlignment="1">
      <alignment horizontal="center" vertical="top" wrapText="1"/>
    </xf>
    <xf numFmtId="0" fontId="1" fillId="8" borderId="16" xfId="0" applyFont="1" applyFill="1" applyBorder="1" applyAlignment="1">
      <alignment horizontal="center" vertical="top" wrapText="1"/>
    </xf>
    <xf numFmtId="0" fontId="1" fillId="8" borderId="17" xfId="0" applyFont="1" applyFill="1" applyBorder="1" applyAlignment="1">
      <alignment horizontal="left" vertical="top" wrapText="1"/>
    </xf>
    <xf numFmtId="0" fontId="23" fillId="0" borderId="20" xfId="0" applyFont="1" applyBorder="1" applyAlignment="1">
      <alignment horizontal="left" vertical="top" wrapText="1" indent="3" shrinkToFit="1"/>
    </xf>
    <xf numFmtId="0" fontId="1" fillId="0" borderId="20" xfId="0" applyFont="1" applyBorder="1" applyAlignment="1">
      <alignment horizontal="left" vertical="top" wrapText="1" indent="3" shrinkToFit="1"/>
    </xf>
    <xf numFmtId="0" fontId="26" fillId="0" borderId="20" xfId="0" applyFont="1" applyBorder="1" applyAlignment="1">
      <alignment horizontal="left" vertical="top" wrapText="1" indent="5" shrinkToFit="1"/>
    </xf>
    <xf numFmtId="0" fontId="26" fillId="0" borderId="21" xfId="0" applyFont="1" applyBorder="1" applyAlignment="1">
      <alignment vertical="top" wrapText="1"/>
    </xf>
    <xf numFmtId="0" fontId="1" fillId="0" borderId="22" xfId="0" applyFont="1" applyBorder="1" applyAlignment="1">
      <alignment horizontal="center" vertical="top" wrapText="1"/>
    </xf>
    <xf numFmtId="0" fontId="1" fillId="0" borderId="23" xfId="0" applyFont="1" applyBorder="1" applyAlignment="1">
      <alignment horizontal="center" vertical="top" wrapText="1"/>
    </xf>
    <xf numFmtId="0" fontId="1" fillId="0" borderId="23" xfId="0" applyFont="1" applyBorder="1" applyAlignment="1">
      <alignment horizontal="left" vertical="top" wrapText="1"/>
    </xf>
    <xf numFmtId="0" fontId="1" fillId="0" borderId="24" xfId="0" applyFont="1" applyBorder="1" applyAlignment="1">
      <alignment horizontal="center" vertical="top" wrapText="1"/>
    </xf>
    <xf numFmtId="0" fontId="27" fillId="0" borderId="0" xfId="0" applyFont="1" applyAlignment="1">
      <alignment vertical="center" wrapText="1"/>
    </xf>
    <xf numFmtId="0" fontId="28" fillId="0" borderId="0" xfId="0" applyFont="1" applyAlignment="1">
      <alignment vertical="top" wrapText="1"/>
    </xf>
    <xf numFmtId="0" fontId="1" fillId="0" borderId="0" xfId="0" applyFont="1" applyAlignment="1">
      <alignment horizontal="right"/>
    </xf>
    <xf numFmtId="0" fontId="1" fillId="0" borderId="0" xfId="0" applyFont="1" applyAlignment="1">
      <alignment horizontal="right" vertical="top" wrapText="1"/>
    </xf>
    <xf numFmtId="0" fontId="1" fillId="0" borderId="0" xfId="0" applyFont="1" applyAlignment="1">
      <alignment horizontal="center"/>
    </xf>
    <xf numFmtId="178" fontId="1" fillId="0" borderId="0" xfId="0" applyNumberFormat="1" applyFont="1" applyAlignment="1">
      <alignment horizontal="center"/>
    </xf>
    <xf numFmtId="179" fontId="1" fillId="0" borderId="0" xfId="0" applyNumberFormat="1" applyFont="1" applyAlignment="1">
      <alignment horizontal="center"/>
    </xf>
    <xf numFmtId="1" fontId="1" fillId="0" borderId="0" xfId="0" applyNumberFormat="1" applyFont="1" applyAlignment="1">
      <alignment horizontal="center"/>
    </xf>
    <xf numFmtId="2" fontId="1" fillId="0" borderId="0" xfId="0" applyNumberFormat="1" applyFont="1" applyAlignment="1">
      <alignment horizontal="center"/>
    </xf>
    <xf numFmtId="0" fontId="20" fillId="7" borderId="25" xfId="0" applyFont="1" applyFill="1" applyBorder="1" applyAlignment="1">
      <alignment horizontal="center" vertical="center" wrapText="1"/>
    </xf>
    <xf numFmtId="0" fontId="20" fillId="7" borderId="26" xfId="0" applyFont="1" applyFill="1" applyBorder="1" applyAlignment="1">
      <alignment horizontal="center" vertical="center" wrapText="1" shrinkToFit="1"/>
    </xf>
    <xf numFmtId="0" fontId="24" fillId="0" borderId="27" xfId="0" applyFont="1" applyBorder="1" applyAlignment="1">
      <alignment vertical="center" wrapText="1" shrinkToFit="1"/>
    </xf>
    <xf numFmtId="0" fontId="1" fillId="0" borderId="27" xfId="0" applyFont="1" applyBorder="1" applyAlignment="1">
      <alignment horizontal="center" vertical="center" wrapText="1"/>
    </xf>
    <xf numFmtId="0" fontId="1" fillId="0" borderId="27" xfId="0" applyFont="1" applyBorder="1" applyAlignment="1">
      <alignment vertical="top" wrapText="1"/>
    </xf>
    <xf numFmtId="0" fontId="22" fillId="0" borderId="27" xfId="0" applyFont="1" applyBorder="1" applyAlignment="1">
      <alignment horizontal="center" vertical="top" wrapText="1"/>
    </xf>
    <xf numFmtId="1" fontId="1" fillId="0" borderId="27" xfId="0" applyNumberFormat="1" applyFont="1" applyBorder="1" applyAlignment="1">
      <alignment horizontal="left" wrapText="1"/>
    </xf>
    <xf numFmtId="0" fontId="1" fillId="0" borderId="27" xfId="0" applyFont="1" applyBorder="1" applyAlignment="1">
      <alignment horizontal="right"/>
    </xf>
    <xf numFmtId="0" fontId="1" fillId="0" borderId="27" xfId="0" applyFont="1" applyBorder="1" applyAlignment="1">
      <alignment vertical="center" wrapText="1" shrinkToFit="1"/>
    </xf>
    <xf numFmtId="0" fontId="1" fillId="0" borderId="27" xfId="0" applyFont="1" applyBorder="1" applyAlignment="1">
      <alignment vertical="top" wrapText="1" shrinkToFit="1"/>
    </xf>
    <xf numFmtId="0" fontId="1" fillId="0" borderId="27" xfId="0" applyFont="1" applyBorder="1" applyAlignment="1">
      <alignment horizontal="right" vertical="top"/>
    </xf>
    <xf numFmtId="0" fontId="12" fillId="0" borderId="0" xfId="0" applyFont="1" applyAlignment="1">
      <alignment vertical="center"/>
    </xf>
    <xf numFmtId="0" fontId="12" fillId="0" borderId="0" xfId="0" applyFont="1" applyAlignment="1">
      <alignment horizontal="center" vertical="center"/>
    </xf>
    <xf numFmtId="0" fontId="12" fillId="0" borderId="0" xfId="0" applyFont="1" applyAlignment="1">
      <alignment horizontal="left" vertical="center"/>
    </xf>
    <xf numFmtId="0" fontId="6" fillId="0" borderId="0" xfId="0" applyFont="1" applyAlignment="1">
      <alignment horizontal="left" vertical="top" wrapText="1"/>
    </xf>
    <xf numFmtId="0" fontId="0" fillId="0" borderId="0" xfId="0" applyAlignment="1">
      <alignment vertical="top"/>
    </xf>
    <xf numFmtId="0" fontId="0" fillId="0" borderId="2" xfId="0" applyBorder="1" applyAlignment="1">
      <alignment vertical="top"/>
    </xf>
    <xf numFmtId="0" fontId="29" fillId="0" borderId="2" xfId="6" applyFont="1" applyBorder="1" applyAlignment="1">
      <alignment horizontal="left" vertical="top"/>
    </xf>
    <xf numFmtId="0" fontId="30" fillId="0" borderId="2" xfId="6" applyBorder="1" applyAlignment="1">
      <alignment horizontal="left" vertical="top"/>
    </xf>
    <xf numFmtId="0" fontId="30" fillId="0" borderId="0" xfId="6" applyAlignment="1">
      <alignment horizontal="left" vertical="top"/>
    </xf>
    <xf numFmtId="0" fontId="0" fillId="0" borderId="0" xfId="0" applyAlignment="1">
      <alignment vertical="top" wrapText="1"/>
    </xf>
    <xf numFmtId="0" fontId="0" fillId="0" borderId="2" xfId="0" applyBorder="1" applyAlignment="1">
      <alignment horizontal="left" vertical="top"/>
    </xf>
    <xf numFmtId="0" fontId="0" fillId="0" borderId="28" xfId="0" applyBorder="1" applyAlignment="1"/>
    <xf numFmtId="0" fontId="0" fillId="0" borderId="12" xfId="0" applyBorder="1" applyAlignment="1"/>
    <xf numFmtId="0" fontId="0" fillId="0" borderId="0" xfId="0" applyAlignment="1">
      <alignment horizontal="left" vertical="top" wrapText="1"/>
    </xf>
    <xf numFmtId="0" fontId="0" fillId="0" borderId="2" xfId="0" applyBorder="1" applyAlignment="1">
      <alignment horizontal="left" vertical="top" wrapText="1"/>
    </xf>
    <xf numFmtId="0" fontId="0" fillId="0" borderId="2" xfId="0" applyBorder="1" applyAlignment="1">
      <alignment vertical="center"/>
    </xf>
    <xf numFmtId="0" fontId="0" fillId="0" borderId="2" xfId="0" applyBorder="1" applyAlignment="1">
      <alignment horizontal="left" vertical="center"/>
    </xf>
    <xf numFmtId="0" fontId="0" fillId="0" borderId="1" xfId="0" applyBorder="1" applyAlignment="1">
      <alignment horizontal="left" vertical="center"/>
    </xf>
    <xf numFmtId="0" fontId="0" fillId="0" borderId="29" xfId="0" applyBorder="1" applyAlignment="1"/>
    <xf numFmtId="0" fontId="0" fillId="0" borderId="30" xfId="0" applyBorder="1" applyAlignment="1"/>
    <xf numFmtId="0" fontId="0" fillId="0" borderId="31" xfId="0" applyBorder="1" applyAlignment="1"/>
    <xf numFmtId="0" fontId="0" fillId="0" borderId="32" xfId="0" applyBorder="1" applyAlignment="1"/>
    <xf numFmtId="0" fontId="0" fillId="0" borderId="11" xfId="0" applyBorder="1" applyAlignment="1">
      <alignment horizontal="left" vertical="center"/>
    </xf>
    <xf numFmtId="0" fontId="0" fillId="0" borderId="33" xfId="0" applyBorder="1" applyAlignment="1"/>
    <xf numFmtId="0" fontId="0" fillId="0" borderId="34" xfId="0" applyBorder="1" applyAlignment="1"/>
    <xf numFmtId="0" fontId="0" fillId="0" borderId="35" xfId="0" applyBorder="1" applyAlignment="1"/>
    <xf numFmtId="0" fontId="0" fillId="0" borderId="1" xfId="0" applyBorder="1" applyAlignment="1">
      <alignment vertical="center"/>
    </xf>
    <xf numFmtId="0" fontId="0" fillId="0" borderId="12" xfId="0" applyBorder="1" applyAlignment="1">
      <alignment vertical="center"/>
    </xf>
    <xf numFmtId="0" fontId="0" fillId="0" borderId="31" xfId="0" applyBorder="1" applyAlignment="1">
      <alignment vertical="center"/>
    </xf>
    <xf numFmtId="0" fontId="0" fillId="0" borderId="28" xfId="0" applyBorder="1" applyAlignment="1">
      <alignment vertical="center"/>
    </xf>
    <xf numFmtId="0" fontId="12" fillId="9" borderId="2" xfId="49" applyFont="1" applyFill="1" applyBorder="1" applyAlignment="1">
      <alignment horizontal="center" vertical="top" wrapText="1"/>
    </xf>
    <xf numFmtId="0" fontId="12" fillId="9" borderId="2" xfId="49" applyFont="1" applyFill="1" applyBorder="1" applyAlignment="1">
      <alignment horizontal="center" vertical="top"/>
    </xf>
    <xf numFmtId="0" fontId="0" fillId="0" borderId="2" xfId="0" applyBorder="1" applyAlignment="1">
      <alignment horizontal="center" vertical="center"/>
    </xf>
    <xf numFmtId="0" fontId="31" fillId="9" borderId="2" xfId="49" applyFont="1" applyFill="1" applyBorder="1" applyAlignment="1">
      <alignment horizontal="center" vertical="center" wrapText="1"/>
    </xf>
    <xf numFmtId="0" fontId="0" fillId="0" borderId="2" xfId="0" applyBorder="1" applyAlignment="1" quotePrefix="1">
      <alignment vertical="top"/>
    </xf>
    <xf numFmtId="0" fontId="0" fillId="0" borderId="2" xfId="0" applyBorder="1" applyAlignment="1" quotePrefix="1">
      <alignment vertical="center"/>
    </xf>
    <xf numFmtId="0" fontId="0" fillId="0" borderId="2" xfId="0" applyBorder="1" applyAlignment="1" quotePrefix="1">
      <alignment horizontal="left" vertical="center"/>
    </xf>
    <xf numFmtId="0" fontId="0" fillId="0" borderId="1" xfId="0" applyBorder="1" applyAlignment="1" quotePrefix="1">
      <alignment horizontal="left" vertical="center"/>
    </xf>
    <xf numFmtId="0" fontId="0" fillId="0" borderId="2" xfId="0" applyBorder="1" applyAlignment="1" quotePrefix="1">
      <alignment vertical="center" wrapText="1"/>
    </xf>
    <xf numFmtId="0" fontId="0" fillId="0" borderId="0" xfId="0" applyAlignment="1" quotePrefix="1">
      <alignment horizontal="left" vertical="center"/>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1685925</xdr:colOff>
      <xdr:row>14</xdr:row>
      <xdr:rowOff>22860</xdr:rowOff>
    </xdr:from>
    <xdr:to>
      <xdr:col>6</xdr:col>
      <xdr:colOff>2225040</xdr:colOff>
      <xdr:row>14</xdr:row>
      <xdr:rowOff>306070</xdr:rowOff>
    </xdr:to>
    <xdr:pic>
      <xdr:nvPicPr>
        <xdr:cNvPr id="2" name="Picture 1" descr="Giao diện web"/>
        <xdr:cNvPicPr>
          <a:picLocks noChangeAspect="1"/>
        </xdr:cNvPicPr>
      </xdr:nvPicPr>
      <xdr:blipFill>
        <a:blip r:embed="rId1"/>
        <a:stretch>
          <a:fillRect/>
        </a:stretch>
      </xdr:blipFill>
      <xdr:spPr>
        <a:xfrm>
          <a:off x="7667625" y="2689860"/>
          <a:ext cx="539115" cy="283210"/>
        </a:xfrm>
        <a:prstGeom prst="rect">
          <a:avLst/>
        </a:prstGeom>
      </xdr:spPr>
    </xdr:pic>
    <xdr:clientData/>
  </xdr:twoCellAnchor>
  <xdr:twoCellAnchor editAs="oneCell">
    <xdr:from>
      <xdr:col>6</xdr:col>
      <xdr:colOff>1590675</xdr:colOff>
      <xdr:row>15</xdr:row>
      <xdr:rowOff>151130</xdr:rowOff>
    </xdr:from>
    <xdr:to>
      <xdr:col>6</xdr:col>
      <xdr:colOff>2185035</xdr:colOff>
      <xdr:row>15</xdr:row>
      <xdr:rowOff>466725</xdr:rowOff>
    </xdr:to>
    <xdr:pic>
      <xdr:nvPicPr>
        <xdr:cNvPr id="3" name="Picture 2" descr="chi tiết sản phẩm"/>
        <xdr:cNvPicPr>
          <a:picLocks noChangeAspect="1"/>
        </xdr:cNvPicPr>
      </xdr:nvPicPr>
      <xdr:blipFill>
        <a:blip r:embed="rId2"/>
        <a:stretch>
          <a:fillRect/>
        </a:stretch>
      </xdr:blipFill>
      <xdr:spPr>
        <a:xfrm>
          <a:off x="7572375" y="3199130"/>
          <a:ext cx="594360" cy="315595"/>
        </a:xfrm>
        <a:prstGeom prst="rect">
          <a:avLst/>
        </a:prstGeom>
      </xdr:spPr>
    </xdr:pic>
    <xdr:clientData/>
  </xdr:twoCellAnchor>
  <xdr:twoCellAnchor editAs="oneCell">
    <xdr:from>
      <xdr:col>6</xdr:col>
      <xdr:colOff>1503680</xdr:colOff>
      <xdr:row>16</xdr:row>
      <xdr:rowOff>68580</xdr:rowOff>
    </xdr:from>
    <xdr:to>
      <xdr:col>6</xdr:col>
      <xdr:colOff>2035810</xdr:colOff>
      <xdr:row>16</xdr:row>
      <xdr:rowOff>327660</xdr:rowOff>
    </xdr:to>
    <xdr:pic>
      <xdr:nvPicPr>
        <xdr:cNvPr id="4" name="Picture 3" descr="Thêm sản phẩm vào giỏ hàng"/>
        <xdr:cNvPicPr>
          <a:picLocks noChangeAspect="1"/>
        </xdr:cNvPicPr>
      </xdr:nvPicPr>
      <xdr:blipFill>
        <a:blip r:embed="rId3"/>
        <a:stretch>
          <a:fillRect/>
        </a:stretch>
      </xdr:blipFill>
      <xdr:spPr>
        <a:xfrm>
          <a:off x="7485380" y="3688080"/>
          <a:ext cx="532130" cy="259080"/>
        </a:xfrm>
        <a:prstGeom prst="rect">
          <a:avLst/>
        </a:prstGeom>
      </xdr:spPr>
    </xdr:pic>
    <xdr:clientData/>
  </xdr:twoCellAnchor>
  <xdr:twoCellAnchor editAs="oneCell">
    <xdr:from>
      <xdr:col>6</xdr:col>
      <xdr:colOff>1666240</xdr:colOff>
      <xdr:row>17</xdr:row>
      <xdr:rowOff>85725</xdr:rowOff>
    </xdr:from>
    <xdr:to>
      <xdr:col>6</xdr:col>
      <xdr:colOff>2190750</xdr:colOff>
      <xdr:row>17</xdr:row>
      <xdr:rowOff>342900</xdr:rowOff>
    </xdr:to>
    <xdr:pic>
      <xdr:nvPicPr>
        <xdr:cNvPr id="5" name="Picture 4" descr="Tăng số lượng"/>
        <xdr:cNvPicPr>
          <a:picLocks noChangeAspect="1"/>
        </xdr:cNvPicPr>
      </xdr:nvPicPr>
      <xdr:blipFill>
        <a:blip r:embed="rId4"/>
        <a:stretch>
          <a:fillRect/>
        </a:stretch>
      </xdr:blipFill>
      <xdr:spPr>
        <a:xfrm>
          <a:off x="7647940" y="4086225"/>
          <a:ext cx="524510" cy="257175"/>
        </a:xfrm>
        <a:prstGeom prst="rect">
          <a:avLst/>
        </a:prstGeom>
      </xdr:spPr>
    </xdr:pic>
    <xdr:clientData/>
  </xdr:twoCellAnchor>
  <xdr:twoCellAnchor editAs="oneCell">
    <xdr:from>
      <xdr:col>6</xdr:col>
      <xdr:colOff>1409700</xdr:colOff>
      <xdr:row>28</xdr:row>
      <xdr:rowOff>67310</xdr:rowOff>
    </xdr:from>
    <xdr:to>
      <xdr:col>6</xdr:col>
      <xdr:colOff>1811655</xdr:colOff>
      <xdr:row>28</xdr:row>
      <xdr:rowOff>272415</xdr:rowOff>
    </xdr:to>
    <xdr:pic>
      <xdr:nvPicPr>
        <xdr:cNvPr id="6" name="Picture 5" descr="Add thêm sản phẩm, tăng số lượng"/>
        <xdr:cNvPicPr>
          <a:picLocks noChangeAspect="1"/>
        </xdr:cNvPicPr>
      </xdr:nvPicPr>
      <xdr:blipFill>
        <a:blip r:embed="rId5"/>
        <a:stretch>
          <a:fillRect/>
        </a:stretch>
      </xdr:blipFill>
      <xdr:spPr>
        <a:xfrm>
          <a:off x="7391400" y="6365875"/>
          <a:ext cx="401955" cy="205105"/>
        </a:xfrm>
        <a:prstGeom prst="rect">
          <a:avLst/>
        </a:prstGeom>
      </xdr:spPr>
    </xdr:pic>
    <xdr:clientData/>
  </xdr:twoCellAnchor>
  <xdr:twoCellAnchor editAs="oneCell">
    <xdr:from>
      <xdr:col>6</xdr:col>
      <xdr:colOff>1393825</xdr:colOff>
      <xdr:row>29</xdr:row>
      <xdr:rowOff>108585</xdr:rowOff>
    </xdr:from>
    <xdr:to>
      <xdr:col>6</xdr:col>
      <xdr:colOff>1795780</xdr:colOff>
      <xdr:row>29</xdr:row>
      <xdr:rowOff>313690</xdr:rowOff>
    </xdr:to>
    <xdr:pic>
      <xdr:nvPicPr>
        <xdr:cNvPr id="7" name="Picture 6" descr="Add thêm sản phẩm, tăng số lượng"/>
        <xdr:cNvPicPr>
          <a:picLocks noChangeAspect="1"/>
        </xdr:cNvPicPr>
      </xdr:nvPicPr>
      <xdr:blipFill>
        <a:blip r:embed="rId5"/>
        <a:stretch>
          <a:fillRect/>
        </a:stretch>
      </xdr:blipFill>
      <xdr:spPr>
        <a:xfrm>
          <a:off x="7375525" y="6788150"/>
          <a:ext cx="401955" cy="205105"/>
        </a:xfrm>
        <a:prstGeom prst="rect">
          <a:avLst/>
        </a:prstGeom>
      </xdr:spPr>
    </xdr:pic>
    <xdr:clientData/>
  </xdr:twoCellAnchor>
  <xdr:twoCellAnchor editAs="oneCell">
    <xdr:from>
      <xdr:col>6</xdr:col>
      <xdr:colOff>1821815</xdr:colOff>
      <xdr:row>40</xdr:row>
      <xdr:rowOff>60325</xdr:rowOff>
    </xdr:from>
    <xdr:to>
      <xdr:col>6</xdr:col>
      <xdr:colOff>2312670</xdr:colOff>
      <xdr:row>40</xdr:row>
      <xdr:rowOff>306070</xdr:rowOff>
    </xdr:to>
    <xdr:pic>
      <xdr:nvPicPr>
        <xdr:cNvPr id="8" name="Picture 7" descr="Tăng số lượng 1053"/>
        <xdr:cNvPicPr>
          <a:picLocks noChangeAspect="1"/>
        </xdr:cNvPicPr>
      </xdr:nvPicPr>
      <xdr:blipFill>
        <a:blip r:embed="rId6"/>
        <a:stretch>
          <a:fillRect/>
        </a:stretch>
      </xdr:blipFill>
      <xdr:spPr>
        <a:xfrm>
          <a:off x="7803515" y="10168890"/>
          <a:ext cx="490855" cy="24574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3</xdr:col>
      <xdr:colOff>1619250</xdr:colOff>
      <xdr:row>13</xdr:row>
      <xdr:rowOff>269090</xdr:rowOff>
    </xdr:from>
    <xdr:to>
      <xdr:col>3</xdr:col>
      <xdr:colOff>2562225</xdr:colOff>
      <xdr:row>13</xdr:row>
      <xdr:rowOff>1343025</xdr:rowOff>
    </xdr:to>
    <xdr:pic>
      <xdr:nvPicPr>
        <xdr:cNvPr id="5" name="Picture 4"/>
        <xdr:cNvPicPr>
          <a:picLocks noChangeAspect="1"/>
        </xdr:cNvPicPr>
      </xdr:nvPicPr>
      <xdr:blipFill>
        <a:blip r:embed="rId1"/>
        <a:stretch>
          <a:fillRect/>
        </a:stretch>
      </xdr:blipFill>
      <xdr:spPr>
        <a:xfrm>
          <a:off x="10487025" y="2745105"/>
          <a:ext cx="942975" cy="1074420"/>
        </a:xfrm>
        <a:prstGeom prst="rect">
          <a:avLst/>
        </a:prstGeom>
      </xdr:spPr>
    </xdr:pic>
    <xdr:clientData/>
  </xdr:twoCellAnchor>
  <xdr:twoCellAnchor>
    <xdr:from>
      <xdr:col>3</xdr:col>
      <xdr:colOff>878899</xdr:colOff>
      <xdr:row>56</xdr:row>
      <xdr:rowOff>212800</xdr:rowOff>
    </xdr:from>
    <xdr:to>
      <xdr:col>3</xdr:col>
      <xdr:colOff>2733675</xdr:colOff>
      <xdr:row>57</xdr:row>
      <xdr:rowOff>0</xdr:rowOff>
    </xdr:to>
    <xdr:pic>
      <xdr:nvPicPr>
        <xdr:cNvPr id="6" name="Picture 5"/>
        <xdr:cNvPicPr>
          <a:picLocks noChangeAspect="1"/>
        </xdr:cNvPicPr>
      </xdr:nvPicPr>
      <xdr:blipFill>
        <a:blip r:embed="rId2"/>
        <a:stretch>
          <a:fillRect/>
        </a:stretch>
      </xdr:blipFill>
      <xdr:spPr>
        <a:xfrm>
          <a:off x="9746615" y="35083750"/>
          <a:ext cx="1854835" cy="13589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127.0.0.1:8000/" TargetMode="External"/><Relationship Id="rId1" Type="http://schemas.openxmlformats.org/officeDocument/2006/relationships/hyperlink" Target="https://github.com/B24DTCN498DUONGTATTRUONG/django-ecommerce-sqa" TargetMode="Externa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75"/>
  <sheetViews>
    <sheetView showGridLines="0" zoomScale="110" zoomScaleNormal="110" workbookViewId="0">
      <selection activeCell="I69" sqref="I69"/>
    </sheetView>
  </sheetViews>
  <sheetFormatPr defaultColWidth="9.14285714285714" defaultRowHeight="15"/>
  <cols>
    <col min="1" max="1" width="5.42857142857143" style="33" customWidth="1"/>
    <col min="4" max="4" width="8.42857142857143" style="33" customWidth="1"/>
    <col min="5" max="5" width="16.5714285714286" style="33" customWidth="1"/>
    <col min="6" max="6" width="21.2857142857143" style="33" customWidth="1"/>
    <col min="7" max="7" width="30.1428571428571" style="33" customWidth="1"/>
    <col min="8" max="8" width="14" style="33" customWidth="1"/>
    <col min="9" max="9" width="15.2857142857143" style="33" customWidth="1"/>
    <col min="10" max="10" width="12.7142857142857" style="33" customWidth="1"/>
    <col min="11" max="11" width="13.1428571428571" style="33" customWidth="1"/>
    <col min="12" max="12" width="18" style="33" customWidth="1"/>
  </cols>
  <sheetData>
    <row r="1" spans="1:20">
      <c r="A1" s="124" t="s">
        <v>0</v>
      </c>
    </row>
    <row r="2" spans="1:20">
      <c r="A2" s="123" t="s">
        <v>1</v>
      </c>
      <c r="B2" s="125" t="s">
        <v>2</v>
      </c>
    </row>
    <row r="3" spans="1:20">
      <c r="B3" s="126" t="s">
        <v>3</v>
      </c>
    </row>
    <row r="16" spans="1:20">
      <c r="B16" s="127"/>
      <c r="C16" s="157" t="s">
        <v>4</v>
      </c>
      <c r="D16" s="128"/>
      <c r="E16" s="128"/>
      <c r="F16" s="129" t="s">
        <v>5</v>
      </c>
      <c r="G16" s="130"/>
      <c r="H16" s="130"/>
      <c r="I16" s="130"/>
      <c r="J16" s="130"/>
      <c r="K16" s="130"/>
      <c r="L16" s="130"/>
      <c r="M16" s="130"/>
      <c r="N16" s="131"/>
      <c r="P16" s="132"/>
      <c r="Q16" s="132"/>
      <c r="R16" s="132"/>
      <c r="S16" s="132"/>
      <c r="T16" s="132"/>
    </row>
    <row r="17" spans="1:20">
      <c r="B17" s="132"/>
      <c r="C17" s="133" t="s">
        <v>6</v>
      </c>
      <c r="D17" s="134"/>
      <c r="E17" s="135"/>
      <c r="F17" s="129" t="s">
        <v>7</v>
      </c>
      <c r="G17" s="134"/>
      <c r="H17" s="134"/>
      <c r="I17" s="134"/>
      <c r="J17" s="134"/>
      <c r="K17" s="134"/>
      <c r="L17" s="134"/>
      <c r="M17" s="135"/>
      <c r="N17" s="136"/>
      <c r="P17" s="132"/>
      <c r="Q17" s="132"/>
      <c r="R17" s="132"/>
      <c r="S17" s="132"/>
      <c r="T17" s="132"/>
    </row>
    <row r="18" spans="1:20">
      <c r="B18" s="132"/>
      <c r="C18" s="128" t="s">
        <v>8</v>
      </c>
      <c r="D18" s="128"/>
      <c r="E18" s="128"/>
      <c r="F18" s="137" t="s">
        <v>9</v>
      </c>
      <c r="G18" s="134"/>
      <c r="H18" s="134"/>
      <c r="I18" s="134"/>
      <c r="J18" s="134"/>
      <c r="K18" s="134"/>
      <c r="L18" s="134"/>
      <c r="M18" s="135"/>
      <c r="N18" s="132"/>
      <c r="P18" s="132"/>
      <c r="Q18" s="132"/>
      <c r="R18" s="132"/>
      <c r="S18" s="132"/>
      <c r="T18" s="132"/>
    </row>
    <row r="19" spans="1:20">
      <c r="B19" s="132"/>
      <c r="C19" s="157" t="s">
        <v>10</v>
      </c>
      <c r="D19" s="128"/>
      <c r="E19" s="128"/>
      <c r="F19" s="129" t="s">
        <v>11</v>
      </c>
      <c r="G19" s="134"/>
      <c r="H19" s="134"/>
      <c r="I19" s="134"/>
      <c r="J19" s="134"/>
      <c r="K19" s="134"/>
      <c r="L19" s="134"/>
      <c r="M19" s="135"/>
      <c r="N19" s="132"/>
      <c r="P19" s="132"/>
      <c r="Q19" s="132"/>
      <c r="R19" s="132"/>
      <c r="S19" s="132"/>
      <c r="T19" s="132"/>
    </row>
    <row r="20" s="123" customFormat="1" spans="1:20">
      <c r="A20" s="123" t="s">
        <v>12</v>
      </c>
      <c r="B20" s="125" t="s">
        <v>13</v>
      </c>
    </row>
    <row r="21" spans="1:20">
      <c r="A21" t="s">
        <v>14</v>
      </c>
      <c r="B21" s="44" t="s">
        <v>15</v>
      </c>
      <c r="D21"/>
      <c r="E21"/>
      <c r="F21"/>
      <c r="G21"/>
      <c r="H21"/>
      <c r="I21"/>
      <c r="J21"/>
      <c r="K21"/>
      <c r="L21"/>
    </row>
    <row r="22" spans="1:20">
      <c r="B22" t="s">
        <v>16</v>
      </c>
      <c r="D22"/>
      <c r="E22"/>
      <c r="F22"/>
      <c r="G22"/>
      <c r="H22"/>
      <c r="I22"/>
      <c r="J22"/>
      <c r="K22"/>
      <c r="L22"/>
    </row>
    <row r="23" spans="1:20">
      <c r="A23" t="s">
        <v>17</v>
      </c>
      <c r="B23" s="44" t="s">
        <v>18</v>
      </c>
    </row>
    <row r="24" spans="1:20">
      <c r="C24" s="158" t="s">
        <v>19</v>
      </c>
      <c r="D24" s="138"/>
      <c r="E24" s="138"/>
      <c r="F24" s="139" t="s">
        <v>20</v>
      </c>
      <c r="G24" s="134"/>
      <c r="H24" s="134"/>
      <c r="I24" s="134"/>
      <c r="J24" s="135"/>
    </row>
    <row r="25" spans="1:20">
      <c r="C25" s="159" t="s">
        <v>21</v>
      </c>
      <c r="D25" s="134"/>
      <c r="E25" s="135"/>
      <c r="F25" s="139" t="s">
        <v>22</v>
      </c>
      <c r="G25" s="134"/>
      <c r="H25" s="134"/>
      <c r="I25" s="134"/>
      <c r="J25" s="135"/>
    </row>
    <row r="26" spans="1:20">
      <c r="C26" s="160" t="s">
        <v>23</v>
      </c>
      <c r="D26" s="134"/>
      <c r="E26" s="134"/>
      <c r="F26" s="139" t="s">
        <v>24</v>
      </c>
      <c r="G26" s="134"/>
      <c r="H26" s="134"/>
      <c r="I26" s="134"/>
      <c r="J26" s="135"/>
      <c r="K26"/>
      <c r="L26"/>
    </row>
    <row r="27" spans="1:20">
      <c r="C27" s="159" t="s">
        <v>25</v>
      </c>
      <c r="D27" s="141"/>
      <c r="E27" s="142"/>
      <c r="F27" s="139" t="s">
        <v>26</v>
      </c>
      <c r="G27" s="134"/>
      <c r="H27" s="134"/>
      <c r="I27" s="134"/>
      <c r="J27" s="135"/>
    </row>
    <row r="28" spans="1:20">
      <c r="C28" s="143"/>
      <c r="E28" s="144"/>
      <c r="F28" s="145" t="s">
        <v>27</v>
      </c>
      <c r="G28" s="146"/>
      <c r="H28" s="146"/>
      <c r="I28" s="146"/>
      <c r="J28" s="147"/>
    </row>
    <row r="29" spans="1:20">
      <c r="C29" s="143"/>
      <c r="E29" s="144"/>
      <c r="F29" s="139" t="s">
        <v>28</v>
      </c>
      <c r="G29" s="134"/>
      <c r="H29" s="134"/>
      <c r="I29" s="134"/>
      <c r="J29" s="135"/>
    </row>
    <row r="30" spans="1:20">
      <c r="C30" s="148"/>
      <c r="D30" s="146"/>
      <c r="E30" s="147"/>
      <c r="F30" s="139" t="s">
        <v>29</v>
      </c>
      <c r="G30" s="134"/>
      <c r="H30" s="134"/>
      <c r="I30" s="134"/>
      <c r="J30" s="135"/>
    </row>
    <row r="31" spans="1:20">
      <c r="A31" t="s">
        <v>30</v>
      </c>
      <c r="B31" t="s">
        <v>31</v>
      </c>
    </row>
    <row r="32" spans="1:20">
      <c r="C32" s="159" t="s">
        <v>32</v>
      </c>
      <c r="D32" s="141"/>
      <c r="E32" s="142"/>
      <c r="F32" s="139" t="s">
        <v>33</v>
      </c>
      <c r="G32" s="134"/>
      <c r="H32" s="134"/>
      <c r="I32" s="134"/>
      <c r="J32" s="134"/>
      <c r="K32" s="134"/>
      <c r="L32" s="135"/>
    </row>
    <row r="33" spans="1:12">
      <c r="C33" s="143"/>
      <c r="E33" s="144"/>
      <c r="F33" s="139" t="s">
        <v>34</v>
      </c>
      <c r="G33" s="134"/>
      <c r="H33" s="134"/>
      <c r="I33" s="134"/>
      <c r="J33" s="134"/>
      <c r="K33" s="134"/>
      <c r="L33" s="135"/>
    </row>
    <row r="34" spans="1:12">
      <c r="C34" s="148"/>
      <c r="D34" s="146"/>
      <c r="E34" s="147"/>
      <c r="F34" s="139" t="s">
        <v>35</v>
      </c>
      <c r="G34" s="134"/>
      <c r="H34" s="134"/>
      <c r="I34" s="134"/>
      <c r="J34" s="134"/>
      <c r="K34" s="134"/>
      <c r="L34" s="135"/>
    </row>
    <row r="35" spans="1:12">
      <c r="C35" s="159" t="s">
        <v>36</v>
      </c>
      <c r="D35" s="141"/>
      <c r="E35" s="142"/>
      <c r="F35" s="139" t="s">
        <v>37</v>
      </c>
      <c r="G35" s="134"/>
      <c r="H35" s="134"/>
      <c r="I35" s="134"/>
      <c r="J35" s="134"/>
      <c r="K35" s="134"/>
      <c r="L35" s="135"/>
    </row>
    <row r="36" spans="1:12">
      <c r="C36" s="143"/>
      <c r="E36" s="144"/>
      <c r="F36" s="139" t="s">
        <v>38</v>
      </c>
      <c r="G36" s="134"/>
      <c r="H36" s="134"/>
      <c r="I36" s="134"/>
      <c r="J36" s="134"/>
      <c r="K36" s="134"/>
      <c r="L36" s="135"/>
    </row>
    <row r="37" spans="1:12">
      <c r="C37" s="148"/>
      <c r="D37" s="146"/>
      <c r="E37" s="147"/>
      <c r="F37" s="139" t="s">
        <v>39</v>
      </c>
      <c r="G37" s="134"/>
      <c r="H37" s="134"/>
      <c r="I37" s="134"/>
      <c r="J37" s="134"/>
      <c r="K37" s="134"/>
      <c r="L37" s="135"/>
    </row>
    <row r="38" spans="1:12">
      <c r="A38" t="s">
        <v>40</v>
      </c>
      <c r="B38" t="s">
        <v>41</v>
      </c>
    </row>
    <row r="39" spans="1:12">
      <c r="C39" s="159" t="s">
        <v>42</v>
      </c>
      <c r="D39" s="134"/>
      <c r="E39" s="135"/>
      <c r="F39" s="138" t="s">
        <v>43</v>
      </c>
      <c r="G39" s="149"/>
      <c r="H39" s="150"/>
    </row>
    <row r="40" spans="1:12">
      <c r="C40" s="159" t="s">
        <v>25</v>
      </c>
      <c r="D40" s="141"/>
      <c r="E40" s="142"/>
      <c r="F40" s="138" t="s">
        <v>44</v>
      </c>
      <c r="G40" s="149"/>
      <c r="H40" s="150"/>
    </row>
    <row r="41" spans="1:12">
      <c r="C41" s="143"/>
      <c r="E41" s="144"/>
      <c r="F41" s="138" t="s">
        <v>45</v>
      </c>
      <c r="G41" s="149"/>
      <c r="H41" s="150"/>
      <c r="J41"/>
    </row>
    <row r="42" spans="1:12">
      <c r="C42" s="143"/>
      <c r="E42" s="144"/>
      <c r="F42" s="140" t="s">
        <v>46</v>
      </c>
      <c r="G42" s="134"/>
      <c r="H42" s="150"/>
    </row>
    <row r="43" spans="1:12">
      <c r="C43" s="148"/>
      <c r="D43" s="146"/>
      <c r="E43" s="147"/>
      <c r="F43" s="138" t="s">
        <v>47</v>
      </c>
      <c r="G43" s="149"/>
      <c r="H43" s="150"/>
      <c r="I43" s="151"/>
    </row>
    <row r="44" spans="1:12">
      <c r="A44" t="s">
        <v>48</v>
      </c>
      <c r="B44" t="s">
        <v>49</v>
      </c>
    </row>
    <row r="45" spans="1:12">
      <c r="C45" s="158" t="s">
        <v>50</v>
      </c>
      <c r="D45" s="138"/>
      <c r="E45" s="138"/>
      <c r="F45" s="139" t="s">
        <v>51</v>
      </c>
      <c r="G45" s="134"/>
      <c r="H45" s="135"/>
    </row>
    <row r="46" spans="1:12">
      <c r="C46" s="158" t="s">
        <v>52</v>
      </c>
      <c r="D46" s="138"/>
      <c r="E46" s="138"/>
      <c r="F46" s="138" t="s">
        <v>53</v>
      </c>
      <c r="G46" s="149"/>
      <c r="H46" s="150"/>
    </row>
    <row r="47" spans="1:12">
      <c r="C47" s="159" t="s">
        <v>54</v>
      </c>
      <c r="D47" s="134"/>
      <c r="E47" s="135"/>
      <c r="F47" s="139" t="s">
        <v>55</v>
      </c>
      <c r="G47" s="134"/>
      <c r="H47" s="135"/>
    </row>
    <row r="48" spans="1:12">
      <c r="A48" t="s">
        <v>56</v>
      </c>
      <c r="B48" t="s">
        <v>57</v>
      </c>
    </row>
    <row r="49" spans="1:9">
      <c r="C49" s="139" t="s">
        <v>58</v>
      </c>
      <c r="D49" s="134"/>
      <c r="E49" s="135"/>
      <c r="F49" s="139" t="s">
        <v>59</v>
      </c>
      <c r="G49" s="134"/>
      <c r="H49" s="135"/>
    </row>
    <row r="50" spans="1:9">
      <c r="C50" s="138" t="s">
        <v>60</v>
      </c>
      <c r="D50" s="138"/>
      <c r="E50" s="138"/>
      <c r="F50" s="139" t="s">
        <v>61</v>
      </c>
      <c r="G50" s="134"/>
      <c r="H50" s="135"/>
    </row>
    <row r="51" spans="1:9">
      <c r="C51" s="139" t="s">
        <v>62</v>
      </c>
      <c r="D51" s="134"/>
      <c r="E51" s="135"/>
      <c r="F51" s="138" t="s">
        <v>63</v>
      </c>
      <c r="G51" s="149"/>
      <c r="H51" s="150"/>
    </row>
    <row r="52" spans="1:9">
      <c r="A52" t="s">
        <v>64</v>
      </c>
      <c r="B52" t="s">
        <v>65</v>
      </c>
    </row>
    <row r="53" spans="1:9">
      <c r="C53" s="139" t="s">
        <v>66</v>
      </c>
      <c r="D53" s="134"/>
      <c r="E53" s="135"/>
      <c r="F53" s="139" t="s">
        <v>67</v>
      </c>
      <c r="G53" s="134"/>
      <c r="H53" s="134"/>
      <c r="I53" s="135"/>
    </row>
    <row r="54" spans="1:9">
      <c r="C54" s="139" t="s">
        <v>68</v>
      </c>
      <c r="D54" s="134"/>
      <c r="E54" s="135"/>
      <c r="F54" s="138" t="s">
        <v>69</v>
      </c>
      <c r="G54" s="149"/>
      <c r="H54" s="152"/>
      <c r="I54" s="150"/>
    </row>
    <row r="55" spans="1:9">
      <c r="A55" s="123" t="s">
        <v>70</v>
      </c>
      <c r="B55" s="123" t="s">
        <v>71</v>
      </c>
    </row>
    <row r="56" spans="1:9">
      <c r="A56" t="s">
        <v>14</v>
      </c>
      <c r="B56" t="s">
        <v>72</v>
      </c>
    </row>
    <row r="57" spans="1:9">
      <c r="A57" t="s">
        <v>17</v>
      </c>
      <c r="B57" t="s">
        <v>73</v>
      </c>
    </row>
    <row r="58" spans="1:9">
      <c r="A58" t="s">
        <v>30</v>
      </c>
      <c r="B58" t="s">
        <v>74</v>
      </c>
    </row>
    <row r="59" spans="1:9">
      <c r="A59" t="s">
        <v>40</v>
      </c>
      <c r="B59" t="s">
        <v>75</v>
      </c>
    </row>
    <row r="60" spans="1:9">
      <c r="A60" t="s">
        <v>48</v>
      </c>
      <c r="B60" t="s">
        <v>76</v>
      </c>
    </row>
    <row r="61" spans="1:9">
      <c r="A61" t="s">
        <v>56</v>
      </c>
      <c r="B61" t="s">
        <v>77</v>
      </c>
    </row>
    <row r="62" spans="1:9">
      <c r="A62" t="s">
        <v>64</v>
      </c>
      <c r="B62" t="s">
        <v>78</v>
      </c>
    </row>
    <row r="63" spans="1:9">
      <c r="A63" s="123" t="s">
        <v>79</v>
      </c>
      <c r="B63" s="123" t="s">
        <v>80</v>
      </c>
    </row>
    <row r="64" spans="1:9">
      <c r="B64" t="s">
        <v>81</v>
      </c>
    </row>
    <row r="65" spans="1:13">
      <c r="B65" t="s">
        <v>82</v>
      </c>
    </row>
    <row r="66" spans="1:13">
      <c r="B66" t="s">
        <v>83</v>
      </c>
    </row>
    <row r="67" ht="17.1" customHeight="1" spans="1:13">
      <c r="D67" s="153" t="s">
        <v>84</v>
      </c>
      <c r="E67" s="153" t="s">
        <v>85</v>
      </c>
      <c r="F67" s="153" t="s">
        <v>86</v>
      </c>
      <c r="G67" s="154" t="s">
        <v>87</v>
      </c>
    </row>
    <row r="68" ht="60" customHeight="1" spans="1:13">
      <c r="D68" s="155">
        <v>1</v>
      </c>
      <c r="E68" s="39" t="s">
        <v>88</v>
      </c>
      <c r="F68" s="39" t="s">
        <v>89</v>
      </c>
      <c r="G68" s="138" t="s">
        <v>90</v>
      </c>
    </row>
    <row r="69" ht="60" customHeight="1" spans="1:13">
      <c r="D69" s="155">
        <v>2</v>
      </c>
      <c r="E69" s="39" t="s">
        <v>91</v>
      </c>
      <c r="F69" s="39" t="s">
        <v>92</v>
      </c>
      <c r="G69" s="39" t="s">
        <v>93</v>
      </c>
    </row>
    <row r="70" ht="240" customHeight="1" spans="1:13">
      <c r="D70" s="155">
        <v>3</v>
      </c>
      <c r="E70" s="39" t="s">
        <v>94</v>
      </c>
      <c r="F70" s="161" t="s">
        <v>95</v>
      </c>
      <c r="G70" s="138" t="s">
        <v>96</v>
      </c>
    </row>
    <row r="71" spans="1:13">
      <c r="A71" t="s">
        <v>97</v>
      </c>
      <c r="B71" t="s">
        <v>98</v>
      </c>
    </row>
    <row r="72" ht="65.1" customHeight="1" spans="1:13">
      <c r="D72" s="156" t="s">
        <v>84</v>
      </c>
      <c r="E72" s="156" t="s">
        <v>85</v>
      </c>
      <c r="F72" s="156" t="s">
        <v>99</v>
      </c>
      <c r="G72" s="156" t="s">
        <v>100</v>
      </c>
      <c r="H72" s="156" t="s">
        <v>101</v>
      </c>
      <c r="I72" s="156" t="s">
        <v>102</v>
      </c>
      <c r="J72" s="156" t="s">
        <v>103</v>
      </c>
      <c r="K72" s="156" t="s">
        <v>104</v>
      </c>
      <c r="L72" s="156" t="s">
        <v>105</v>
      </c>
      <c r="M72" s="156" t="s">
        <v>106</v>
      </c>
    </row>
    <row r="73" spans="1:13">
      <c r="D73">
        <v>1</v>
      </c>
    </row>
    <row r="74" spans="1:13">
      <c r="D74">
        <v>2</v>
      </c>
    </row>
    <row r="75" spans="1:13">
      <c r="D75">
        <v>3</v>
      </c>
    </row>
  </sheetData>
  <mergeCells count="41">
    <mergeCell ref="A1:S1"/>
    <mergeCell ref="B2:D2"/>
    <mergeCell ref="C17:E17"/>
    <mergeCell ref="F17:M17"/>
    <mergeCell ref="F18:M18"/>
    <mergeCell ref="F19:M19"/>
    <mergeCell ref="B20:C20"/>
    <mergeCell ref="B21:C21"/>
    <mergeCell ref="B23:E23"/>
    <mergeCell ref="F24:J24"/>
    <mergeCell ref="C25:E25"/>
    <mergeCell ref="F25:J25"/>
    <mergeCell ref="C26:E26"/>
    <mergeCell ref="F26:J26"/>
    <mergeCell ref="F27:J27"/>
    <mergeCell ref="F28:J28"/>
    <mergeCell ref="F29:J29"/>
    <mergeCell ref="F30:J30"/>
    <mergeCell ref="F32:L32"/>
    <mergeCell ref="F33:L33"/>
    <mergeCell ref="F34:L34"/>
    <mergeCell ref="F35:L35"/>
    <mergeCell ref="F36:L36"/>
    <mergeCell ref="F37:L37"/>
    <mergeCell ref="C39:E39"/>
    <mergeCell ref="F42:G42"/>
    <mergeCell ref="F45:H45"/>
    <mergeCell ref="C47:E47"/>
    <mergeCell ref="F47:H47"/>
    <mergeCell ref="C49:E49"/>
    <mergeCell ref="F49:H49"/>
    <mergeCell ref="F50:H50"/>
    <mergeCell ref="C51:E51"/>
    <mergeCell ref="C53:E53"/>
    <mergeCell ref="F53:I53"/>
    <mergeCell ref="C54:E54"/>
    <mergeCell ref="C40:E43"/>
    <mergeCell ref="C27:E30"/>
    <mergeCell ref="C32:E34"/>
    <mergeCell ref="B3:T15"/>
    <mergeCell ref="C35:E37"/>
  </mergeCells>
  <hyperlinks>
    <hyperlink ref="F16" r:id="rId1" display="https://github.com/B24DTCN498DUONGTATTRUONG/django-ecommerce-sqa"/>
    <hyperlink ref="F19" r:id="rId2" display="http://127.0.0.1:8000"/>
  </hyperlinks>
  <pageMargins left="0.75" right="0.75" top="1" bottom="1" header="0.5" footer="0.5"/>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72"/>
  <sheetViews>
    <sheetView showGridLines="0" workbookViewId="0">
      <selection activeCell="I15" sqref="I15"/>
    </sheetView>
  </sheetViews>
  <sheetFormatPr defaultColWidth="9" defaultRowHeight="15" outlineLevelCol="5"/>
  <cols>
    <col min="1" max="1" width="82.7142857142857" style="33" customWidth="1"/>
    <col min="2" max="2" width="3.42857142857143" style="33" customWidth="1"/>
    <col min="3" max="3" width="6.85714285714286" style="33" customWidth="1"/>
    <col min="4" max="4" width="4.14285714285714" style="33" customWidth="1"/>
    <col min="5" max="5" width="39.2857142857143" style="53" customWidth="1"/>
    <col min="6" max="6" width="8.42857142857143" style="33" customWidth="1"/>
  </cols>
  <sheetData>
    <row r="1" ht="23.25" customHeight="1" spans="1:6">
      <c r="A1" s="54" t="s">
        <v>107</v>
      </c>
    </row>
    <row r="2" spans="1:6">
      <c r="A2" s="55"/>
      <c r="B2" s="2"/>
      <c r="C2" s="2"/>
      <c r="D2" s="2"/>
      <c r="E2" s="56"/>
      <c r="F2" s="3"/>
    </row>
    <row r="3" spans="1:6">
      <c r="A3" s="57" t="s">
        <v>108</v>
      </c>
      <c r="B3" s="58" t="s">
        <v>109</v>
      </c>
    </row>
    <row r="4" spans="1:6">
      <c r="A4" s="57" t="s">
        <v>110</v>
      </c>
      <c r="B4" s="59" t="s">
        <v>111</v>
      </c>
    </row>
    <row r="5" spans="1:6">
      <c r="A5" s="57" t="s">
        <v>112</v>
      </c>
      <c r="B5" s="60" t="s">
        <v>113</v>
      </c>
      <c r="C5" s="58"/>
      <c r="D5" s="58"/>
      <c r="E5" s="58"/>
      <c r="F5" s="58"/>
    </row>
    <row r="6" spans="1:6">
      <c r="A6" s="57" t="s">
        <v>114</v>
      </c>
      <c r="B6" s="58" t="s">
        <v>115</v>
      </c>
    </row>
    <row r="7" spans="1:6">
      <c r="A7" s="57" t="s">
        <v>116</v>
      </c>
      <c r="B7" s="58" t="s">
        <v>117</v>
      </c>
    </row>
    <row r="8" spans="1:6">
      <c r="A8" s="57" t="s">
        <v>118</v>
      </c>
      <c r="B8" s="58" t="s">
        <v>119</v>
      </c>
    </row>
    <row r="9" spans="1:6">
      <c r="A9" s="57" t="s">
        <v>120</v>
      </c>
      <c r="B9" s="60" t="s">
        <v>121</v>
      </c>
    </row>
    <row r="10" spans="1:6">
      <c r="A10" s="57" t="s">
        <v>122</v>
      </c>
      <c r="B10" s="58" t="s">
        <v>115</v>
      </c>
    </row>
    <row r="11" spans="1:6">
      <c r="A11" s="61" t="s">
        <v>123</v>
      </c>
    </row>
    <row r="12" spans="1:6">
      <c r="A12" s="62"/>
      <c r="B12" s="62"/>
      <c r="C12" s="62"/>
      <c r="D12" s="62"/>
      <c r="E12" s="62"/>
      <c r="F12" s="62"/>
    </row>
    <row r="13" s="34" customFormat="1" ht="25.5" customHeight="1" spans="1:6">
      <c r="A13" s="63" t="s">
        <v>124</v>
      </c>
      <c r="B13" s="64" t="s">
        <v>125</v>
      </c>
      <c r="C13" s="64" t="s">
        <v>126</v>
      </c>
      <c r="D13" s="64" t="s">
        <v>127</v>
      </c>
      <c r="E13" s="64" t="s">
        <v>128</v>
      </c>
      <c r="F13" s="65" t="s">
        <v>129</v>
      </c>
    </row>
    <row r="14" spans="1:6">
      <c r="A14" s="66" t="s">
        <v>130</v>
      </c>
      <c r="B14" s="67"/>
      <c r="C14" s="68"/>
      <c r="D14" s="68"/>
      <c r="E14" s="69"/>
      <c r="F14" s="70"/>
    </row>
    <row r="15" spans="1:6">
      <c r="A15" s="71" t="s">
        <v>131</v>
      </c>
      <c r="B15" s="72"/>
      <c r="C15" s="73" t="s">
        <v>132</v>
      </c>
      <c r="D15" s="74"/>
      <c r="E15" s="75"/>
      <c r="F15" s="76" t="s">
        <v>133</v>
      </c>
    </row>
    <row r="16" spans="1:6">
      <c r="A16" s="77" t="s">
        <v>134</v>
      </c>
      <c r="B16" s="72"/>
      <c r="C16" s="73" t="s">
        <v>132</v>
      </c>
      <c r="D16" s="74"/>
      <c r="E16" s="75"/>
      <c r="F16" s="76" t="s">
        <v>133</v>
      </c>
    </row>
    <row r="17" ht="38.25" customHeight="1" spans="1:6">
      <c r="A17" s="77" t="s">
        <v>135</v>
      </c>
      <c r="B17" s="73" t="s">
        <v>132</v>
      </c>
      <c r="C17" s="73"/>
      <c r="D17" s="74"/>
      <c r="E17" s="75" t="s">
        <v>136</v>
      </c>
      <c r="F17" s="76" t="s">
        <v>133</v>
      </c>
    </row>
    <row r="18" ht="25.5" customHeight="1" spans="1:6">
      <c r="A18" s="77" t="s">
        <v>137</v>
      </c>
      <c r="B18" s="73" t="s">
        <v>132</v>
      </c>
      <c r="C18" s="73"/>
      <c r="D18" s="74"/>
      <c r="E18" s="75" t="s">
        <v>138</v>
      </c>
      <c r="F18" s="76" t="s">
        <v>133</v>
      </c>
    </row>
    <row r="19" spans="1:6">
      <c r="A19" s="77" t="s">
        <v>139</v>
      </c>
      <c r="B19" s="73" t="s">
        <v>132</v>
      </c>
      <c r="C19" s="74"/>
      <c r="D19" s="74"/>
      <c r="E19" s="75"/>
      <c r="F19" s="76" t="s">
        <v>133</v>
      </c>
    </row>
    <row r="20" ht="25.5" customHeight="1" spans="1:6">
      <c r="A20" s="77" t="s">
        <v>140</v>
      </c>
      <c r="B20" s="72"/>
      <c r="C20" s="73" t="s">
        <v>132</v>
      </c>
      <c r="D20" s="74"/>
      <c r="E20" s="75" t="s">
        <v>141</v>
      </c>
      <c r="F20" s="76" t="s">
        <v>133</v>
      </c>
    </row>
    <row r="21" ht="25.5" customHeight="1" spans="1:6">
      <c r="A21" s="78" t="s">
        <v>142</v>
      </c>
      <c r="B21" s="73" t="s">
        <v>132</v>
      </c>
      <c r="C21" s="74"/>
      <c r="D21" s="74"/>
      <c r="E21" s="75" t="s">
        <v>143</v>
      </c>
      <c r="F21" s="76" t="s">
        <v>133</v>
      </c>
    </row>
    <row r="22" ht="25.5" customHeight="1" spans="1:6">
      <c r="A22" s="77" t="s">
        <v>144</v>
      </c>
      <c r="B22" s="72"/>
      <c r="C22" s="74"/>
      <c r="D22" s="73" t="s">
        <v>132</v>
      </c>
      <c r="E22" s="75" t="s">
        <v>145</v>
      </c>
      <c r="F22" s="76"/>
    </row>
    <row r="23" ht="25.5" customHeight="1" spans="1:6">
      <c r="A23" s="79" t="s">
        <v>146</v>
      </c>
      <c r="B23" s="72"/>
      <c r="C23" s="74"/>
      <c r="D23" s="73" t="s">
        <v>132</v>
      </c>
      <c r="E23" s="75" t="s">
        <v>147</v>
      </c>
      <c r="F23" s="76" t="s">
        <v>133</v>
      </c>
    </row>
    <row r="24" spans="1:6">
      <c r="A24" s="80" t="s">
        <v>148</v>
      </c>
      <c r="B24" s="67"/>
      <c r="C24" s="68"/>
      <c r="D24" s="68"/>
      <c r="E24" s="81"/>
      <c r="F24" s="82"/>
    </row>
    <row r="25" ht="25.5" customHeight="1" spans="1:6">
      <c r="A25" s="71" t="s">
        <v>149</v>
      </c>
      <c r="B25" s="73" t="s">
        <v>132</v>
      </c>
      <c r="C25" s="74"/>
      <c r="D25" s="74"/>
      <c r="E25" s="83" t="s">
        <v>150</v>
      </c>
      <c r="F25" s="76" t="s">
        <v>133</v>
      </c>
    </row>
    <row r="26" ht="25.5" customHeight="1" spans="1:6">
      <c r="A26" s="71" t="s">
        <v>151</v>
      </c>
      <c r="B26" s="73" t="s">
        <v>132</v>
      </c>
      <c r="C26" s="74"/>
      <c r="D26" s="74"/>
      <c r="E26" s="83" t="s">
        <v>152</v>
      </c>
      <c r="F26" s="76"/>
    </row>
    <row r="27" ht="25.5" customHeight="1" spans="1:6">
      <c r="A27" s="71" t="s">
        <v>153</v>
      </c>
      <c r="B27" s="73" t="s">
        <v>132</v>
      </c>
      <c r="C27" s="74"/>
      <c r="D27" s="74"/>
      <c r="E27" s="83" t="s">
        <v>154</v>
      </c>
      <c r="F27" s="76" t="s">
        <v>133</v>
      </c>
    </row>
    <row r="28" spans="1:6">
      <c r="A28" s="71" t="s">
        <v>155</v>
      </c>
      <c r="B28" s="73" t="s">
        <v>132</v>
      </c>
      <c r="C28" s="74"/>
      <c r="D28" s="74"/>
      <c r="E28" s="84" t="s">
        <v>156</v>
      </c>
      <c r="F28" s="76"/>
    </row>
    <row r="29" ht="25.5" customHeight="1" spans="1:6">
      <c r="A29" s="71" t="s">
        <v>157</v>
      </c>
      <c r="B29" s="73"/>
      <c r="C29" s="74"/>
      <c r="D29" s="74"/>
      <c r="E29" s="84"/>
      <c r="F29" s="76"/>
    </row>
    <row r="30" spans="1:6">
      <c r="A30" s="77" t="s">
        <v>158</v>
      </c>
      <c r="B30" s="73" t="s">
        <v>132</v>
      </c>
      <c r="C30" s="74"/>
      <c r="D30" s="74"/>
      <c r="E30" s="84" t="s">
        <v>159</v>
      </c>
      <c r="F30" s="76"/>
    </row>
    <row r="31" spans="1:6">
      <c r="A31" s="77" t="s">
        <v>160</v>
      </c>
      <c r="B31" s="73" t="s">
        <v>132</v>
      </c>
      <c r="C31" s="74"/>
      <c r="D31" s="74"/>
      <c r="E31" s="84" t="s">
        <v>161</v>
      </c>
      <c r="F31" s="76"/>
    </row>
    <row r="32" spans="1:6">
      <c r="A32" s="77" t="s">
        <v>162</v>
      </c>
      <c r="B32" s="73" t="s">
        <v>132</v>
      </c>
      <c r="C32" s="74"/>
      <c r="D32" s="74"/>
      <c r="E32" s="84" t="s">
        <v>163</v>
      </c>
      <c r="F32" s="76"/>
    </row>
    <row r="33" spans="1:6">
      <c r="A33" s="71" t="s">
        <v>164</v>
      </c>
      <c r="B33" s="73" t="s">
        <v>132</v>
      </c>
      <c r="C33" s="74"/>
      <c r="D33" s="74"/>
      <c r="E33" s="84" t="s">
        <v>165</v>
      </c>
      <c r="F33" s="76" t="s">
        <v>133</v>
      </c>
    </row>
    <row r="34" spans="1:6">
      <c r="A34" s="71" t="s">
        <v>166</v>
      </c>
      <c r="B34" s="73" t="s">
        <v>132</v>
      </c>
      <c r="C34" s="74"/>
      <c r="D34" s="74"/>
      <c r="E34" s="84" t="s">
        <v>167</v>
      </c>
      <c r="F34" s="76" t="s">
        <v>133</v>
      </c>
    </row>
    <row r="35" spans="1:6">
      <c r="A35" s="80" t="s">
        <v>168</v>
      </c>
      <c r="B35" s="67"/>
      <c r="C35" s="68"/>
      <c r="D35" s="68"/>
      <c r="E35" s="81"/>
      <c r="F35" s="82"/>
    </row>
    <row r="36" ht="25.5" customHeight="1" spans="1:6">
      <c r="A36" s="71" t="s">
        <v>169</v>
      </c>
      <c r="B36" s="73" t="s">
        <v>132</v>
      </c>
      <c r="C36" s="74"/>
      <c r="D36" s="74"/>
      <c r="E36" s="83" t="s">
        <v>170</v>
      </c>
      <c r="F36" s="76" t="s">
        <v>133</v>
      </c>
    </row>
    <row r="37" spans="1:6">
      <c r="A37" s="71" t="s">
        <v>171</v>
      </c>
      <c r="B37" s="73" t="s">
        <v>132</v>
      </c>
      <c r="C37" s="74"/>
      <c r="D37" s="74"/>
      <c r="E37" s="83" t="s">
        <v>172</v>
      </c>
      <c r="F37" s="76" t="s">
        <v>133</v>
      </c>
    </row>
    <row r="38" spans="1:6">
      <c r="A38" s="71" t="s">
        <v>173</v>
      </c>
      <c r="B38" s="73"/>
      <c r="C38" s="74"/>
      <c r="D38" s="74"/>
      <c r="E38" s="83"/>
      <c r="F38" s="76" t="s">
        <v>133</v>
      </c>
    </row>
    <row r="39" ht="25.5" customHeight="1" spans="1:6">
      <c r="A39" s="77" t="s">
        <v>174</v>
      </c>
      <c r="B39" s="73" t="s">
        <v>132</v>
      </c>
      <c r="C39" s="74"/>
      <c r="D39" s="74"/>
      <c r="E39" s="83" t="s">
        <v>175</v>
      </c>
      <c r="F39" s="76"/>
    </row>
    <row r="40" ht="25.5" customHeight="1" spans="1:6">
      <c r="A40" s="77" t="s">
        <v>176</v>
      </c>
      <c r="B40" s="73" t="s">
        <v>132</v>
      </c>
      <c r="C40" s="74"/>
      <c r="D40" s="74"/>
      <c r="E40" s="83" t="s">
        <v>177</v>
      </c>
      <c r="F40" s="76"/>
    </row>
    <row r="41" ht="25.5" customHeight="1" spans="1:6">
      <c r="A41" s="77" t="s">
        <v>178</v>
      </c>
      <c r="B41" s="73" t="s">
        <v>132</v>
      </c>
      <c r="C41" s="73"/>
      <c r="D41" s="74"/>
      <c r="E41" s="83" t="s">
        <v>179</v>
      </c>
      <c r="F41" s="76"/>
    </row>
    <row r="42" ht="25.5" customHeight="1" spans="1:6">
      <c r="A42" s="77" t="s">
        <v>180</v>
      </c>
      <c r="B42" s="73" t="s">
        <v>132</v>
      </c>
      <c r="C42" s="73"/>
      <c r="D42" s="74"/>
      <c r="E42" s="83" t="s">
        <v>181</v>
      </c>
      <c r="F42" s="76"/>
    </row>
    <row r="43" ht="25.5" customHeight="1" spans="1:6">
      <c r="A43" s="77" t="s">
        <v>182</v>
      </c>
      <c r="B43" s="73" t="s">
        <v>132</v>
      </c>
      <c r="C43" s="73"/>
      <c r="D43" s="74"/>
      <c r="E43" s="83" t="s">
        <v>183</v>
      </c>
      <c r="F43" s="76"/>
    </row>
    <row r="44" ht="25.5" customHeight="1" spans="1:6">
      <c r="A44" s="71" t="s">
        <v>184</v>
      </c>
      <c r="B44" s="73" t="s">
        <v>132</v>
      </c>
      <c r="C44" s="73"/>
      <c r="D44" s="74"/>
      <c r="E44" s="83" t="s">
        <v>185</v>
      </c>
      <c r="F44" s="76" t="s">
        <v>133</v>
      </c>
    </row>
    <row r="45" spans="1:6">
      <c r="A45" s="71" t="s">
        <v>186</v>
      </c>
      <c r="B45" s="73" t="s">
        <v>132</v>
      </c>
      <c r="C45" s="74"/>
      <c r="D45" s="74"/>
      <c r="E45" s="83" t="s">
        <v>187</v>
      </c>
      <c r="F45" s="76"/>
    </row>
    <row r="46" spans="1:6">
      <c r="A46" s="71" t="s">
        <v>188</v>
      </c>
      <c r="B46" s="73" t="s">
        <v>132</v>
      </c>
      <c r="C46" s="74"/>
      <c r="D46" s="74"/>
      <c r="E46" s="83" t="s">
        <v>189</v>
      </c>
      <c r="F46" s="76"/>
    </row>
    <row r="47" spans="1:6">
      <c r="A47" s="80" t="s">
        <v>190</v>
      </c>
      <c r="B47" s="67"/>
      <c r="C47" s="68"/>
      <c r="D47" s="68"/>
      <c r="E47" s="81"/>
      <c r="F47" s="82"/>
    </row>
    <row r="48" spans="1:6">
      <c r="A48" s="85" t="s">
        <v>191</v>
      </c>
      <c r="B48" s="73" t="s">
        <v>132</v>
      </c>
      <c r="C48" s="86"/>
      <c r="D48" s="86"/>
      <c r="E48" s="84" t="s">
        <v>192</v>
      </c>
      <c r="F48" s="76" t="s">
        <v>133</v>
      </c>
    </row>
    <row r="49" ht="25.5" customHeight="1" spans="1:6">
      <c r="A49" s="85" t="s">
        <v>193</v>
      </c>
      <c r="B49" s="73" t="s">
        <v>132</v>
      </c>
      <c r="C49" s="87"/>
      <c r="D49" s="87"/>
      <c r="E49" s="84" t="s">
        <v>194</v>
      </c>
      <c r="F49" s="88" t="s">
        <v>133</v>
      </c>
    </row>
    <row r="50" ht="25.5" customHeight="1" spans="1:6">
      <c r="A50" s="85" t="s">
        <v>195</v>
      </c>
      <c r="B50" s="73" t="s">
        <v>132</v>
      </c>
      <c r="C50" s="73"/>
      <c r="D50" s="74"/>
      <c r="E50" s="84" t="s">
        <v>196</v>
      </c>
      <c r="F50" s="76" t="s">
        <v>133</v>
      </c>
    </row>
    <row r="51" spans="1:6">
      <c r="A51" s="85" t="s">
        <v>197</v>
      </c>
      <c r="B51" s="73" t="s">
        <v>132</v>
      </c>
      <c r="C51" s="74"/>
      <c r="D51" s="74"/>
      <c r="E51" s="84" t="s">
        <v>198</v>
      </c>
      <c r="F51" s="76" t="s">
        <v>133</v>
      </c>
    </row>
    <row r="52" ht="25.5" customHeight="1" spans="1:6">
      <c r="A52" s="85" t="s">
        <v>199</v>
      </c>
      <c r="B52" s="73" t="s">
        <v>132</v>
      </c>
      <c r="C52" s="74"/>
      <c r="D52" s="74"/>
      <c r="E52" s="84" t="s">
        <v>200</v>
      </c>
      <c r="F52" s="76"/>
    </row>
    <row r="53" ht="25.5" customHeight="1" spans="1:6">
      <c r="A53" s="85" t="s">
        <v>201</v>
      </c>
      <c r="B53" s="73" t="s">
        <v>132</v>
      </c>
      <c r="C53" s="73"/>
      <c r="D53" s="89"/>
      <c r="E53" s="84" t="s">
        <v>202</v>
      </c>
      <c r="F53" s="76" t="s">
        <v>133</v>
      </c>
    </row>
    <row r="54" ht="25.5" customHeight="1" spans="1:6">
      <c r="A54" s="85" t="s">
        <v>203</v>
      </c>
      <c r="B54" s="73" t="s">
        <v>132</v>
      </c>
      <c r="C54" s="87"/>
      <c r="D54" s="87"/>
      <c r="E54" s="84" t="s">
        <v>204</v>
      </c>
      <c r="F54" s="88"/>
    </row>
    <row r="55" ht="25.5" customHeight="1" spans="1:6">
      <c r="A55" s="77" t="s">
        <v>205</v>
      </c>
      <c r="B55" s="90"/>
      <c r="C55" s="87"/>
      <c r="D55" s="73" t="s">
        <v>132</v>
      </c>
      <c r="E55" s="84" t="s">
        <v>206</v>
      </c>
      <c r="F55" s="88"/>
    </row>
    <row r="56" ht="25.5" customHeight="1" spans="1:6">
      <c r="A56" s="71" t="s">
        <v>207</v>
      </c>
      <c r="B56" s="73" t="s">
        <v>132</v>
      </c>
      <c r="C56" s="74"/>
      <c r="D56" s="74"/>
      <c r="E56" s="84" t="s">
        <v>208</v>
      </c>
      <c r="F56" s="76"/>
    </row>
    <row r="57" spans="1:6">
      <c r="A57" s="85" t="s">
        <v>209</v>
      </c>
      <c r="B57" s="73" t="s">
        <v>132</v>
      </c>
      <c r="C57" s="87"/>
      <c r="D57" s="87"/>
      <c r="E57" s="84" t="s">
        <v>210</v>
      </c>
      <c r="F57" s="88"/>
    </row>
    <row r="58" ht="25.5" customHeight="1" spans="1:6">
      <c r="A58" s="85" t="s">
        <v>211</v>
      </c>
      <c r="B58" s="73" t="s">
        <v>132</v>
      </c>
      <c r="C58" s="87"/>
      <c r="D58" s="87"/>
      <c r="E58" s="84" t="s">
        <v>212</v>
      </c>
      <c r="F58" s="88"/>
    </row>
    <row r="59" ht="25.5" customHeight="1" spans="1:6">
      <c r="A59" s="85" t="s">
        <v>213</v>
      </c>
      <c r="B59" s="73" t="s">
        <v>132</v>
      </c>
      <c r="C59" s="74"/>
      <c r="D59" s="74"/>
      <c r="E59" s="84" t="s">
        <v>214</v>
      </c>
      <c r="F59" s="76"/>
    </row>
    <row r="60" spans="1:6">
      <c r="A60" s="80" t="s">
        <v>215</v>
      </c>
      <c r="B60" s="67"/>
      <c r="C60" s="68"/>
      <c r="D60" s="68"/>
      <c r="E60" s="81"/>
      <c r="F60" s="82"/>
    </row>
    <row r="61" ht="25.5" customHeight="1" spans="1:6">
      <c r="A61" s="85" t="s">
        <v>216</v>
      </c>
      <c r="B61" s="73" t="s">
        <v>132</v>
      </c>
      <c r="C61" s="74"/>
      <c r="D61" s="74"/>
      <c r="E61" s="83" t="s">
        <v>217</v>
      </c>
      <c r="F61" s="76" t="s">
        <v>133</v>
      </c>
    </row>
    <row r="62" ht="25.5" customHeight="1" spans="1:6">
      <c r="A62" s="85" t="s">
        <v>218</v>
      </c>
      <c r="B62" s="73" t="s">
        <v>132</v>
      </c>
      <c r="C62" s="74"/>
      <c r="D62" s="74"/>
      <c r="E62" s="83" t="s">
        <v>219</v>
      </c>
      <c r="F62" s="76" t="s">
        <v>133</v>
      </c>
    </row>
    <row r="63" ht="25.5" customHeight="1" spans="1:6">
      <c r="A63" s="85" t="s">
        <v>220</v>
      </c>
      <c r="B63" s="72"/>
      <c r="C63" s="73" t="s">
        <v>132</v>
      </c>
      <c r="D63" s="74"/>
      <c r="E63" s="83" t="s">
        <v>221</v>
      </c>
      <c r="F63" s="76"/>
    </row>
    <row r="64" ht="25.5" customHeight="1" spans="1:6">
      <c r="A64" s="85" t="s">
        <v>222</v>
      </c>
      <c r="B64" s="73" t="s">
        <v>132</v>
      </c>
      <c r="C64" s="74"/>
      <c r="D64" s="74"/>
      <c r="E64" s="83" t="s">
        <v>223</v>
      </c>
      <c r="F64" s="76" t="s">
        <v>133</v>
      </c>
    </row>
    <row r="65" ht="25.5" customHeight="1" spans="1:6">
      <c r="A65" s="85" t="s">
        <v>224</v>
      </c>
      <c r="B65" s="73" t="s">
        <v>132</v>
      </c>
      <c r="C65" s="74"/>
      <c r="D65" s="74"/>
      <c r="E65" s="83" t="s">
        <v>225</v>
      </c>
      <c r="F65" s="76"/>
    </row>
    <row r="66" ht="25.5" customHeight="1" spans="1:6">
      <c r="A66" s="85" t="s">
        <v>226</v>
      </c>
      <c r="B66" s="73" t="s">
        <v>132</v>
      </c>
      <c r="C66" s="74"/>
      <c r="D66" s="74"/>
      <c r="E66" s="83" t="s">
        <v>227</v>
      </c>
      <c r="F66" s="91"/>
    </row>
    <row r="67" spans="1:6">
      <c r="A67" s="80" t="s">
        <v>228</v>
      </c>
      <c r="B67" s="92"/>
      <c r="C67" s="93"/>
      <c r="D67" s="93"/>
      <c r="E67" s="81"/>
      <c r="F67" s="94"/>
    </row>
    <row r="68" ht="25.5" customHeight="1" spans="1:6">
      <c r="A68" s="85" t="s">
        <v>229</v>
      </c>
      <c r="B68" s="73" t="s">
        <v>132</v>
      </c>
      <c r="C68" s="74"/>
      <c r="D68" s="74"/>
      <c r="E68" s="84" t="s">
        <v>230</v>
      </c>
      <c r="F68" s="76" t="s">
        <v>231</v>
      </c>
    </row>
    <row r="69" ht="38.25" customHeight="1" spans="1:6">
      <c r="A69" s="77" t="s">
        <v>232</v>
      </c>
      <c r="B69" s="72"/>
      <c r="C69" s="74"/>
      <c r="D69" s="74"/>
      <c r="E69" s="84" t="s">
        <v>233</v>
      </c>
      <c r="F69" s="76"/>
    </row>
    <row r="70" ht="25.5" customHeight="1" spans="1:6">
      <c r="A70" s="85" t="s">
        <v>234</v>
      </c>
      <c r="B70" s="73" t="s">
        <v>132</v>
      </c>
      <c r="C70" s="73"/>
      <c r="D70" s="74"/>
      <c r="E70" s="84" t="s">
        <v>235</v>
      </c>
      <c r="F70" s="76"/>
    </row>
    <row r="71" spans="1:6">
      <c r="A71" s="85" t="s">
        <v>236</v>
      </c>
      <c r="B71" s="73" t="s">
        <v>132</v>
      </c>
      <c r="C71" s="74"/>
      <c r="D71" s="74"/>
      <c r="E71" s="84" t="s">
        <v>237</v>
      </c>
      <c r="F71" s="76"/>
    </row>
    <row r="72" spans="1:6">
      <c r="A72" s="85" t="s">
        <v>238</v>
      </c>
      <c r="B72" s="73" t="s">
        <v>132</v>
      </c>
      <c r="C72" s="74"/>
      <c r="D72" s="74"/>
      <c r="E72" s="84" t="s">
        <v>239</v>
      </c>
      <c r="F72" s="76"/>
    </row>
    <row r="73" spans="1:6">
      <c r="A73" s="85" t="s">
        <v>240</v>
      </c>
      <c r="B73" s="73" t="s">
        <v>132</v>
      </c>
      <c r="C73" s="74"/>
      <c r="D73" s="74"/>
      <c r="E73" s="84" t="s">
        <v>241</v>
      </c>
      <c r="F73" s="76"/>
    </row>
    <row r="74" ht="25.5" customHeight="1" spans="1:6">
      <c r="A74" s="95" t="s">
        <v>242</v>
      </c>
      <c r="B74" s="72"/>
      <c r="C74" s="73" t="s">
        <v>132</v>
      </c>
      <c r="D74" s="74"/>
      <c r="E74" s="84" t="s">
        <v>243</v>
      </c>
      <c r="F74" s="76" t="s">
        <v>133</v>
      </c>
    </row>
    <row r="75" ht="25.5" customHeight="1" spans="1:6">
      <c r="A75" s="85" t="s">
        <v>244</v>
      </c>
      <c r="B75" s="73" t="s">
        <v>132</v>
      </c>
      <c r="C75" s="73"/>
      <c r="D75" s="74"/>
      <c r="E75" s="84" t="s">
        <v>245</v>
      </c>
      <c r="F75" s="76"/>
    </row>
    <row r="76" spans="1:6">
      <c r="A76" s="85" t="s">
        <v>246</v>
      </c>
      <c r="B76" s="73" t="s">
        <v>132</v>
      </c>
      <c r="C76" s="74"/>
      <c r="D76" s="74"/>
      <c r="E76" s="84" t="s">
        <v>247</v>
      </c>
      <c r="F76" s="76" t="s">
        <v>133</v>
      </c>
    </row>
    <row r="77" spans="1:6">
      <c r="A77" s="85" t="s">
        <v>248</v>
      </c>
      <c r="B77" s="73" t="s">
        <v>132</v>
      </c>
      <c r="C77" s="74"/>
      <c r="D77" s="74"/>
      <c r="E77" s="84" t="s">
        <v>249</v>
      </c>
      <c r="F77" s="76"/>
    </row>
    <row r="78" spans="1:6">
      <c r="A78" s="95" t="s">
        <v>250</v>
      </c>
      <c r="B78" s="73" t="s">
        <v>132</v>
      </c>
      <c r="C78" s="74"/>
      <c r="D78" s="74"/>
      <c r="E78" s="84" t="s">
        <v>251</v>
      </c>
      <c r="F78" s="76" t="s">
        <v>133</v>
      </c>
    </row>
    <row r="79" ht="25.5" customHeight="1" spans="1:6">
      <c r="A79" s="95" t="s">
        <v>252</v>
      </c>
      <c r="B79" s="72"/>
      <c r="C79" s="74"/>
      <c r="D79" s="73" t="s">
        <v>132</v>
      </c>
      <c r="E79" s="84" t="s">
        <v>253</v>
      </c>
      <c r="F79" s="76"/>
    </row>
    <row r="80" ht="25.5" customHeight="1" spans="1:6">
      <c r="A80" s="96" t="s">
        <v>254</v>
      </c>
      <c r="B80" s="73" t="s">
        <v>132</v>
      </c>
      <c r="C80" s="74"/>
      <c r="D80" s="74"/>
      <c r="E80" s="84" t="s">
        <v>255</v>
      </c>
      <c r="F80" s="76"/>
    </row>
    <row r="81" spans="1:6">
      <c r="A81" s="97" t="s">
        <v>256</v>
      </c>
      <c r="B81" s="73" t="s">
        <v>132</v>
      </c>
      <c r="C81" s="74"/>
      <c r="D81" s="74"/>
      <c r="E81" s="84" t="s">
        <v>257</v>
      </c>
      <c r="F81" s="76" t="s">
        <v>133</v>
      </c>
    </row>
    <row r="82" ht="25.5" customHeight="1" spans="1:6">
      <c r="A82" s="97" t="s">
        <v>258</v>
      </c>
      <c r="B82" s="73" t="s">
        <v>132</v>
      </c>
      <c r="C82" s="74"/>
      <c r="D82" s="74"/>
      <c r="E82" s="84" t="s">
        <v>259</v>
      </c>
      <c r="F82" s="76" t="s">
        <v>133</v>
      </c>
    </row>
    <row r="83" ht="25.5" customHeight="1" spans="1:6">
      <c r="A83" s="95" t="s">
        <v>260</v>
      </c>
      <c r="B83" s="73" t="s">
        <v>132</v>
      </c>
      <c r="C83" s="74"/>
      <c r="D83" s="74"/>
      <c r="E83" s="84" t="s">
        <v>261</v>
      </c>
      <c r="F83" s="76"/>
    </row>
    <row r="84" ht="25.5" customHeight="1" spans="1:6">
      <c r="A84" s="85" t="s">
        <v>262</v>
      </c>
      <c r="B84" s="73" t="s">
        <v>132</v>
      </c>
      <c r="C84" s="73"/>
      <c r="D84" s="74"/>
      <c r="E84" s="84" t="s">
        <v>263</v>
      </c>
      <c r="F84" s="76"/>
    </row>
    <row r="85" ht="25.5" customHeight="1" spans="1:6">
      <c r="A85" s="85" t="s">
        <v>264</v>
      </c>
      <c r="B85" s="73" t="s">
        <v>132</v>
      </c>
      <c r="C85" s="74"/>
      <c r="D85" s="74"/>
      <c r="E85" s="84" t="s">
        <v>265</v>
      </c>
      <c r="F85" s="76"/>
    </row>
    <row r="86" ht="25.5" customHeight="1" spans="1:6">
      <c r="A86" s="77" t="s">
        <v>266</v>
      </c>
      <c r="B86" s="73" t="s">
        <v>132</v>
      </c>
      <c r="C86" s="74"/>
      <c r="D86" s="74"/>
      <c r="E86" s="84" t="s">
        <v>267</v>
      </c>
      <c r="F86" s="76" t="s">
        <v>133</v>
      </c>
    </row>
    <row r="87" ht="25.5" customHeight="1" spans="1:6">
      <c r="A87" s="85" t="s">
        <v>268</v>
      </c>
      <c r="B87" s="73" t="s">
        <v>132</v>
      </c>
      <c r="C87" s="74"/>
      <c r="D87" s="74"/>
      <c r="E87" s="84" t="s">
        <v>269</v>
      </c>
      <c r="F87" s="76"/>
    </row>
    <row r="88" ht="25.5" customHeight="1" spans="1:6">
      <c r="A88" s="77" t="s">
        <v>266</v>
      </c>
      <c r="B88" s="72"/>
      <c r="C88" s="73" t="s">
        <v>132</v>
      </c>
      <c r="D88" s="74"/>
      <c r="E88" s="84" t="s">
        <v>270</v>
      </c>
      <c r="F88" s="76" t="s">
        <v>133</v>
      </c>
    </row>
    <row r="89" ht="25.5" customHeight="1" spans="1:6">
      <c r="A89" s="85" t="s">
        <v>271</v>
      </c>
      <c r="B89" s="73" t="s">
        <v>132</v>
      </c>
      <c r="C89" s="74"/>
      <c r="D89" s="74"/>
      <c r="E89" s="84" t="s">
        <v>272</v>
      </c>
      <c r="F89" s="76"/>
    </row>
    <row r="90" ht="25.5" customHeight="1" spans="1:6">
      <c r="A90" s="77" t="s">
        <v>266</v>
      </c>
      <c r="B90" s="72"/>
      <c r="C90" s="73" t="s">
        <v>132</v>
      </c>
      <c r="D90" s="74"/>
      <c r="E90" s="84" t="s">
        <v>273</v>
      </c>
      <c r="F90" s="76" t="s">
        <v>133</v>
      </c>
    </row>
    <row r="91" spans="1:6">
      <c r="A91" s="85"/>
      <c r="B91" s="72"/>
      <c r="C91" s="74"/>
      <c r="D91" s="74"/>
      <c r="E91" s="84"/>
      <c r="F91" s="76"/>
    </row>
    <row r="92" spans="1:6">
      <c r="A92" s="98" t="s">
        <v>274</v>
      </c>
      <c r="B92" s="99"/>
      <c r="C92" s="100"/>
      <c r="D92" s="100"/>
      <c r="E92" s="101"/>
      <c r="F92" s="102"/>
    </row>
    <row r="93" spans="1:6">
      <c r="A93" s="1"/>
      <c r="B93" s="2"/>
      <c r="C93" s="2"/>
      <c r="D93" s="2"/>
      <c r="E93" s="56"/>
      <c r="F93" s="3"/>
    </row>
    <row r="94" spans="1:6">
      <c r="A94" s="103" t="s">
        <v>275</v>
      </c>
      <c r="B94" s="2"/>
      <c r="C94" s="2"/>
      <c r="D94" s="2"/>
      <c r="E94" s="56"/>
      <c r="F94" s="3"/>
    </row>
    <row r="95" ht="25.5" customHeight="1" spans="1:6">
      <c r="A95" s="1" t="s">
        <v>276</v>
      </c>
      <c r="B95" s="2"/>
      <c r="C95" s="2"/>
      <c r="D95" s="2"/>
      <c r="E95" s="56"/>
      <c r="F95" s="3"/>
    </row>
    <row r="96" ht="38.25" customHeight="1" spans="1:6">
      <c r="A96" s="1" t="s">
        <v>277</v>
      </c>
      <c r="B96" s="2"/>
      <c r="C96" s="2"/>
      <c r="D96" s="2"/>
      <c r="E96" s="56"/>
      <c r="F96" s="3"/>
    </row>
    <row r="97" spans="1:6">
      <c r="A97" s="103" t="s">
        <v>278</v>
      </c>
      <c r="B97" s="2"/>
      <c r="C97" s="2"/>
      <c r="D97" s="2"/>
      <c r="E97" s="56"/>
      <c r="F97" s="3"/>
    </row>
    <row r="98" ht="25.5" customHeight="1" spans="1:6">
      <c r="A98" s="1" t="s">
        <v>279</v>
      </c>
      <c r="B98" s="2"/>
      <c r="C98" s="2"/>
      <c r="D98" s="2"/>
      <c r="E98" s="56"/>
      <c r="F98" s="3"/>
    </row>
    <row r="99" ht="25.5" customHeight="1" spans="1:6">
      <c r="A99" s="1" t="s">
        <v>280</v>
      </c>
      <c r="B99" s="2"/>
      <c r="C99" s="2"/>
      <c r="D99" s="2"/>
      <c r="E99" s="56"/>
      <c r="F99" s="3"/>
    </row>
    <row r="100" ht="25.5" customHeight="1" spans="1:6">
      <c r="A100" s="1" t="s">
        <v>281</v>
      </c>
      <c r="B100" s="2"/>
      <c r="C100" s="2"/>
      <c r="D100" s="2"/>
      <c r="E100" s="56"/>
      <c r="F100" s="3"/>
    </row>
    <row r="106" ht="23.25" customHeight="1" spans="1:6">
      <c r="A106" s="104" t="s">
        <v>282</v>
      </c>
      <c r="B106" s="105"/>
      <c r="C106" s="105"/>
      <c r="D106" s="105"/>
      <c r="E106" s="105"/>
    </row>
    <row r="107" spans="1:6">
      <c r="A107" s="55"/>
      <c r="B107" s="105"/>
      <c r="C107" s="105"/>
      <c r="D107" s="105"/>
      <c r="E107" s="105"/>
    </row>
    <row r="108" spans="1:6">
      <c r="A108" s="106" t="s">
        <v>283</v>
      </c>
      <c r="B108" s="105"/>
      <c r="C108" s="105"/>
      <c r="D108" s="105"/>
      <c r="E108" s="105"/>
    </row>
    <row r="109" spans="1:6">
      <c r="A109" s="106" t="s">
        <v>284</v>
      </c>
      <c r="B109" s="107"/>
    </row>
    <row r="110" spans="1:6">
      <c r="A110" s="106" t="s">
        <v>285</v>
      </c>
      <c r="B110" s="108"/>
    </row>
    <row r="111" spans="1:6">
      <c r="A111" s="106" t="s">
        <v>286</v>
      </c>
      <c r="B111" s="108"/>
    </row>
    <row r="112" spans="1:6">
      <c r="A112" s="106" t="s">
        <v>287</v>
      </c>
      <c r="B112" s="107"/>
    </row>
    <row r="113" spans="1:5">
      <c r="A113" s="106" t="s">
        <v>288</v>
      </c>
      <c r="B113" s="109"/>
    </row>
    <row r="114" spans="1:5">
      <c r="A114" s="106" t="s">
        <v>289</v>
      </c>
      <c r="B114" s="110"/>
    </row>
    <row r="115" spans="1:5">
      <c r="A115" s="106" t="s">
        <v>290</v>
      </c>
      <c r="B115" s="111"/>
    </row>
    <row r="116" ht="15.75" customHeight="1" spans="1:5">
      <c r="A116" s="1"/>
      <c r="B116" s="105"/>
      <c r="C116" s="105"/>
      <c r="D116" s="105"/>
      <c r="E116" s="105"/>
    </row>
    <row r="117" spans="1:5">
      <c r="A117" s="112" t="s">
        <v>124</v>
      </c>
      <c r="B117" s="113" t="s">
        <v>125</v>
      </c>
      <c r="C117" s="113" t="s">
        <v>126</v>
      </c>
      <c r="D117" s="113" t="s">
        <v>127</v>
      </c>
      <c r="E117" s="113" t="s">
        <v>128</v>
      </c>
    </row>
    <row r="118" spans="1:5">
      <c r="A118" s="114" t="s">
        <v>15</v>
      </c>
      <c r="B118" s="114"/>
      <c r="C118" s="114"/>
      <c r="D118" s="114"/>
      <c r="E118" s="115"/>
    </row>
    <row r="119" ht="26.25" customHeight="1" spans="1:5">
      <c r="A119" s="116" t="s">
        <v>291</v>
      </c>
      <c r="B119" s="117" t="s">
        <v>132</v>
      </c>
      <c r="C119" s="114"/>
      <c r="D119" s="114"/>
      <c r="E119" s="118" t="s">
        <v>292</v>
      </c>
    </row>
    <row r="120" spans="1:5">
      <c r="A120" s="114" t="s">
        <v>293</v>
      </c>
      <c r="B120" s="114"/>
      <c r="C120" s="114"/>
      <c r="D120" s="114"/>
      <c r="E120" s="119"/>
    </row>
    <row r="121" ht="25.5" customHeight="1" spans="1:5">
      <c r="A121" s="120" t="s">
        <v>294</v>
      </c>
      <c r="B121" s="117" t="s">
        <v>132</v>
      </c>
      <c r="C121" s="114"/>
      <c r="D121" s="114"/>
      <c r="E121" s="120" t="s">
        <v>295</v>
      </c>
    </row>
    <row r="122" ht="25.5" customHeight="1" spans="1:5">
      <c r="A122" s="120" t="s">
        <v>296</v>
      </c>
      <c r="B122" s="117" t="s">
        <v>132</v>
      </c>
      <c r="C122" s="114"/>
      <c r="D122" s="114"/>
      <c r="E122" s="120" t="s">
        <v>297</v>
      </c>
    </row>
    <row r="123" ht="25.5" customHeight="1" spans="1:5">
      <c r="A123" s="120" t="s">
        <v>298</v>
      </c>
      <c r="B123" s="117" t="s">
        <v>132</v>
      </c>
      <c r="C123" s="114"/>
      <c r="D123" s="114"/>
      <c r="E123" s="120" t="s">
        <v>299</v>
      </c>
    </row>
    <row r="124" ht="25.5" customHeight="1" spans="1:5">
      <c r="A124" s="120" t="s">
        <v>300</v>
      </c>
      <c r="B124" s="117" t="s">
        <v>132</v>
      </c>
      <c r="C124" s="114"/>
      <c r="D124" s="114"/>
      <c r="E124" s="120" t="s">
        <v>301</v>
      </c>
    </row>
    <row r="125" ht="25.5" customHeight="1" spans="1:5">
      <c r="A125" s="120" t="s">
        <v>302</v>
      </c>
      <c r="B125" s="114"/>
      <c r="C125" s="117" t="s">
        <v>132</v>
      </c>
      <c r="D125" s="114"/>
      <c r="E125" s="120" t="s">
        <v>303</v>
      </c>
    </row>
    <row r="126" ht="25.5" customHeight="1" spans="1:5">
      <c r="A126" s="120" t="s">
        <v>304</v>
      </c>
      <c r="B126" s="114"/>
      <c r="C126" s="117" t="s">
        <v>132</v>
      </c>
      <c r="D126" s="114"/>
      <c r="E126" s="120" t="s">
        <v>305</v>
      </c>
    </row>
    <row r="127" ht="25.5" customHeight="1" spans="1:5">
      <c r="A127" s="120" t="s">
        <v>306</v>
      </c>
      <c r="B127" s="117" t="s">
        <v>132</v>
      </c>
      <c r="C127" s="114"/>
      <c r="D127" s="114"/>
      <c r="E127" s="120" t="s">
        <v>307</v>
      </c>
    </row>
    <row r="128" ht="25.5" customHeight="1" spans="1:5">
      <c r="A128" s="120" t="s">
        <v>308</v>
      </c>
      <c r="B128" s="114"/>
      <c r="C128" s="117" t="s">
        <v>132</v>
      </c>
      <c r="D128" s="114"/>
      <c r="E128" s="120" t="s">
        <v>309</v>
      </c>
    </row>
    <row r="129" ht="38.25" customHeight="1" spans="1:5">
      <c r="A129" s="120" t="s">
        <v>310</v>
      </c>
      <c r="B129" s="114"/>
      <c r="C129" s="117" t="s">
        <v>132</v>
      </c>
      <c r="D129" s="114"/>
      <c r="E129" s="120" t="s">
        <v>311</v>
      </c>
    </row>
    <row r="130" ht="25.5" customHeight="1" spans="1:5">
      <c r="A130" s="120" t="s">
        <v>312</v>
      </c>
      <c r="B130" s="114"/>
      <c r="C130" s="114"/>
      <c r="D130" s="117" t="s">
        <v>132</v>
      </c>
      <c r="E130" s="120" t="s">
        <v>313</v>
      </c>
    </row>
    <row r="131" ht="25.5" customHeight="1" spans="1:5">
      <c r="A131" s="120" t="s">
        <v>314</v>
      </c>
      <c r="B131" s="117" t="s">
        <v>132</v>
      </c>
      <c r="C131" s="114"/>
      <c r="D131" s="114"/>
      <c r="E131" s="120" t="s">
        <v>315</v>
      </c>
    </row>
    <row r="132" ht="25.5" customHeight="1" spans="1:5">
      <c r="A132" s="120" t="s">
        <v>316</v>
      </c>
      <c r="B132" s="117" t="s">
        <v>132</v>
      </c>
      <c r="C132" s="114"/>
      <c r="D132" s="114"/>
      <c r="E132" s="120" t="s">
        <v>317</v>
      </c>
    </row>
    <row r="133" ht="25.5" customHeight="1" spans="1:5">
      <c r="A133" s="120" t="s">
        <v>318</v>
      </c>
      <c r="B133" s="114"/>
      <c r="C133" s="117" t="s">
        <v>132</v>
      </c>
      <c r="D133" s="114"/>
      <c r="E133" s="120" t="s">
        <v>319</v>
      </c>
    </row>
    <row r="134" ht="25.5" customHeight="1" spans="1:5">
      <c r="A134" s="120" t="s">
        <v>320</v>
      </c>
      <c r="B134" s="117" t="s">
        <v>132</v>
      </c>
      <c r="C134" s="114"/>
      <c r="D134" s="114"/>
      <c r="E134" s="120" t="s">
        <v>321</v>
      </c>
    </row>
    <row r="135" spans="1:5">
      <c r="A135" s="114" t="s">
        <v>322</v>
      </c>
      <c r="B135" s="114"/>
      <c r="C135" s="114"/>
      <c r="D135" s="114"/>
      <c r="E135" s="120"/>
    </row>
    <row r="136" ht="25.5" customHeight="1" spans="1:5">
      <c r="A136" s="120" t="s">
        <v>323</v>
      </c>
      <c r="B136" s="117" t="s">
        <v>132</v>
      </c>
      <c r="C136" s="114"/>
      <c r="D136" s="114"/>
      <c r="E136" s="120" t="s">
        <v>324</v>
      </c>
    </row>
    <row r="137" ht="25.5" customHeight="1" spans="1:5">
      <c r="A137" s="120" t="s">
        <v>325</v>
      </c>
      <c r="B137" s="117" t="s">
        <v>132</v>
      </c>
      <c r="C137" s="114"/>
      <c r="D137" s="114"/>
      <c r="E137" s="120" t="s">
        <v>326</v>
      </c>
    </row>
    <row r="138" ht="25.5" customHeight="1" spans="1:5">
      <c r="A138" s="120" t="s">
        <v>327</v>
      </c>
      <c r="B138" s="117" t="s">
        <v>132</v>
      </c>
      <c r="C138" s="114"/>
      <c r="D138" s="114"/>
      <c r="E138" s="120" t="s">
        <v>328</v>
      </c>
    </row>
    <row r="139" spans="1:5">
      <c r="A139" s="120" t="s">
        <v>329</v>
      </c>
      <c r="B139" s="114"/>
      <c r="C139" s="114"/>
      <c r="D139" s="114"/>
      <c r="E139" s="120"/>
    </row>
    <row r="140" ht="25.5" customHeight="1" spans="1:5">
      <c r="A140" s="120" t="s">
        <v>330</v>
      </c>
      <c r="B140" s="114"/>
      <c r="C140" s="114"/>
      <c r="D140" s="117" t="s">
        <v>132</v>
      </c>
      <c r="E140" s="120" t="s">
        <v>331</v>
      </c>
    </row>
    <row r="141" ht="25.5" customHeight="1" spans="1:5">
      <c r="A141" s="120" t="s">
        <v>332</v>
      </c>
      <c r="B141" s="114"/>
      <c r="C141" s="114"/>
      <c r="D141" s="117" t="s">
        <v>132</v>
      </c>
      <c r="E141" s="120" t="s">
        <v>333</v>
      </c>
    </row>
    <row r="142" ht="25.5" customHeight="1" spans="1:5">
      <c r="A142" s="120" t="s">
        <v>334</v>
      </c>
      <c r="B142" s="114"/>
      <c r="C142" s="114"/>
      <c r="D142" s="117" t="s">
        <v>132</v>
      </c>
      <c r="E142" s="120" t="s">
        <v>335</v>
      </c>
    </row>
    <row r="143" spans="1:5">
      <c r="A143" s="114" t="s">
        <v>336</v>
      </c>
      <c r="B143" s="114"/>
      <c r="C143" s="114"/>
      <c r="D143" s="114"/>
      <c r="E143" s="120"/>
    </row>
    <row r="144" ht="25.5" customHeight="1" spans="1:5">
      <c r="A144" s="120" t="s">
        <v>337</v>
      </c>
      <c r="B144" s="114"/>
      <c r="C144" s="114"/>
      <c r="D144" s="117" t="s">
        <v>132</v>
      </c>
      <c r="E144" s="120" t="s">
        <v>338</v>
      </c>
    </row>
    <row r="145" ht="25.5" customHeight="1" spans="1:5">
      <c r="A145" s="120" t="s">
        <v>339</v>
      </c>
      <c r="B145" s="114"/>
      <c r="C145" s="114"/>
      <c r="D145" s="117" t="s">
        <v>132</v>
      </c>
      <c r="E145" s="120" t="s">
        <v>340</v>
      </c>
    </row>
    <row r="146" spans="1:5">
      <c r="A146" s="120" t="s">
        <v>341</v>
      </c>
      <c r="B146" s="114"/>
      <c r="C146" s="114"/>
      <c r="D146" s="117" t="s">
        <v>132</v>
      </c>
      <c r="E146" s="120" t="s">
        <v>342</v>
      </c>
    </row>
    <row r="147" ht="25.5" customHeight="1" spans="1:5">
      <c r="A147" s="120" t="s">
        <v>343</v>
      </c>
      <c r="B147" s="114"/>
      <c r="C147" s="114"/>
      <c r="D147" s="117" t="s">
        <v>132</v>
      </c>
      <c r="E147" s="120" t="s">
        <v>344</v>
      </c>
    </row>
    <row r="148" spans="1:5">
      <c r="A148" s="120" t="s">
        <v>345</v>
      </c>
      <c r="B148" s="114"/>
      <c r="C148" s="114"/>
      <c r="D148" s="114"/>
      <c r="E148" s="120"/>
    </row>
    <row r="149" spans="1:5">
      <c r="A149" s="120" t="s">
        <v>346</v>
      </c>
      <c r="B149" s="117" t="s">
        <v>132</v>
      </c>
      <c r="C149" s="114"/>
      <c r="D149" s="114"/>
      <c r="E149" s="120" t="s">
        <v>347</v>
      </c>
    </row>
    <row r="150" spans="1:5">
      <c r="A150" s="120" t="s">
        <v>348</v>
      </c>
      <c r="B150" s="117" t="s">
        <v>132</v>
      </c>
      <c r="C150" s="114"/>
      <c r="D150" s="114"/>
      <c r="E150" s="120" t="s">
        <v>349</v>
      </c>
    </row>
    <row r="151" ht="25.5" customHeight="1" spans="1:5">
      <c r="A151" s="120" t="s">
        <v>350</v>
      </c>
      <c r="B151" s="117" t="s">
        <v>132</v>
      </c>
      <c r="C151" s="114"/>
      <c r="D151" s="114"/>
      <c r="E151" s="120" t="s">
        <v>351</v>
      </c>
    </row>
    <row r="152" spans="1:5">
      <c r="A152" s="114" t="s">
        <v>352</v>
      </c>
      <c r="B152" s="114"/>
      <c r="C152" s="114"/>
      <c r="D152" s="114"/>
      <c r="E152" s="120"/>
    </row>
    <row r="153" ht="25.5" customHeight="1" spans="1:5">
      <c r="A153" s="120" t="s">
        <v>353</v>
      </c>
      <c r="B153" s="117" t="s">
        <v>132</v>
      </c>
      <c r="C153" s="114"/>
      <c r="D153" s="114"/>
      <c r="E153" s="120" t="s">
        <v>354</v>
      </c>
    </row>
    <row r="154" ht="25.5" customHeight="1" spans="1:5">
      <c r="A154" s="120" t="s">
        <v>355</v>
      </c>
      <c r="B154" s="117" t="s">
        <v>132</v>
      </c>
      <c r="C154" s="114"/>
      <c r="D154" s="114"/>
      <c r="E154" s="120" t="s">
        <v>356</v>
      </c>
    </row>
    <row r="155" ht="25.5" customHeight="1" spans="1:5">
      <c r="A155" s="120" t="s">
        <v>357</v>
      </c>
      <c r="B155" s="114"/>
      <c r="C155" s="117" t="s">
        <v>132</v>
      </c>
      <c r="D155" s="114"/>
      <c r="E155" s="120" t="s">
        <v>358</v>
      </c>
    </row>
    <row r="156" spans="1:5">
      <c r="A156" s="114" t="s">
        <v>359</v>
      </c>
      <c r="B156" s="114"/>
      <c r="C156" s="114"/>
      <c r="D156" s="114"/>
      <c r="E156" s="120"/>
    </row>
    <row r="157" ht="25.5" customHeight="1" spans="1:5">
      <c r="A157" s="120" t="s">
        <v>360</v>
      </c>
      <c r="B157" s="117" t="s">
        <v>132</v>
      </c>
      <c r="C157" s="114"/>
      <c r="D157" s="114"/>
      <c r="E157" s="120" t="s">
        <v>361</v>
      </c>
    </row>
    <row r="158" ht="25.5" customHeight="1" spans="1:5">
      <c r="A158" s="120" t="s">
        <v>362</v>
      </c>
      <c r="B158" s="114"/>
      <c r="C158" s="114"/>
      <c r="D158" s="117" t="s">
        <v>132</v>
      </c>
      <c r="E158" s="120" t="s">
        <v>363</v>
      </c>
    </row>
    <row r="159" spans="1:5">
      <c r="A159" s="120" t="s">
        <v>364</v>
      </c>
      <c r="B159" s="117" t="s">
        <v>132</v>
      </c>
      <c r="C159" s="114"/>
      <c r="D159" s="114"/>
      <c r="E159" s="120" t="s">
        <v>365</v>
      </c>
    </row>
    <row r="160" ht="25.5" customHeight="1" spans="1:5">
      <c r="A160" s="120" t="s">
        <v>366</v>
      </c>
      <c r="B160" s="114"/>
      <c r="C160" s="117" t="s">
        <v>132</v>
      </c>
      <c r="D160" s="114"/>
      <c r="E160" s="120" t="s">
        <v>367</v>
      </c>
    </row>
    <row r="161" spans="1:5">
      <c r="A161" s="121" t="s">
        <v>368</v>
      </c>
      <c r="B161" s="122"/>
      <c r="C161" s="122"/>
      <c r="D161" s="122"/>
      <c r="E161" s="122"/>
    </row>
    <row r="162" ht="15.75" customHeight="1" spans="1:5">
      <c r="A162" s="120"/>
      <c r="B162" s="119"/>
      <c r="C162" s="119"/>
      <c r="D162" s="119"/>
      <c r="E162" s="119"/>
    </row>
    <row r="163" spans="1:5">
      <c r="A163" s="1"/>
      <c r="B163" s="105"/>
      <c r="C163" s="105"/>
      <c r="D163" s="105"/>
      <c r="E163" s="105"/>
    </row>
    <row r="164" spans="1:5">
      <c r="A164" s="103" t="s">
        <v>275</v>
      </c>
      <c r="B164" s="105"/>
      <c r="C164" s="105"/>
      <c r="D164" s="105"/>
      <c r="E164" s="105"/>
    </row>
    <row r="165" ht="25.5" customHeight="1" spans="1:5">
      <c r="A165" s="1" t="s">
        <v>369</v>
      </c>
      <c r="B165" s="105"/>
      <c r="C165" s="105"/>
      <c r="D165" s="105"/>
      <c r="E165" s="105"/>
    </row>
    <row r="166" ht="25.5" customHeight="1" spans="1:5">
      <c r="A166" s="1" t="s">
        <v>370</v>
      </c>
      <c r="B166" s="105"/>
      <c r="C166" s="105"/>
      <c r="D166" s="105"/>
      <c r="E166" s="105"/>
    </row>
    <row r="167" spans="1:5">
      <c r="A167" s="103" t="s">
        <v>278</v>
      </c>
      <c r="B167" s="105"/>
      <c r="C167" s="105"/>
      <c r="D167" s="105"/>
      <c r="E167" s="105"/>
    </row>
    <row r="168" ht="25.5" customHeight="1" spans="1:5">
      <c r="A168" s="1" t="s">
        <v>371</v>
      </c>
      <c r="B168" s="105"/>
      <c r="C168" s="105"/>
      <c r="D168" s="105"/>
      <c r="E168" s="105"/>
    </row>
    <row r="169" ht="25.5" customHeight="1" spans="1:5">
      <c r="A169" s="1" t="s">
        <v>372</v>
      </c>
      <c r="B169" s="105"/>
      <c r="C169" s="105"/>
      <c r="D169" s="105"/>
      <c r="E169" s="105"/>
    </row>
    <row r="170" spans="1:5">
      <c r="A170" s="1" t="s">
        <v>373</v>
      </c>
      <c r="B170" s="105" t="s">
        <v>374</v>
      </c>
      <c r="C170" s="105"/>
      <c r="D170" s="105"/>
      <c r="E170" s="105"/>
    </row>
    <row r="171" spans="1:5">
      <c r="A171" s="1" t="s">
        <v>375</v>
      </c>
      <c r="B171" s="105"/>
      <c r="C171" s="105"/>
      <c r="D171" s="105"/>
      <c r="E171" s="105"/>
    </row>
    <row r="172" spans="1:5">
      <c r="A172" s="1"/>
      <c r="B172" s="105"/>
      <c r="C172" s="105"/>
      <c r="D172" s="105"/>
      <c r="E172" s="105"/>
    </row>
  </sheetData>
  <mergeCells count="16">
    <mergeCell ref="A1:F1"/>
    <mergeCell ref="B3:F3"/>
    <mergeCell ref="B4:F4"/>
    <mergeCell ref="B6:F6"/>
    <mergeCell ref="B7:F7"/>
    <mergeCell ref="B8:F8"/>
    <mergeCell ref="B9:F9"/>
    <mergeCell ref="B10:F10"/>
    <mergeCell ref="A11:F11"/>
    <mergeCell ref="B109:E109"/>
    <mergeCell ref="B110:E110"/>
    <mergeCell ref="B111:E111"/>
    <mergeCell ref="B112:E112"/>
    <mergeCell ref="B113:E113"/>
    <mergeCell ref="B114:E114"/>
    <mergeCell ref="B115:E115"/>
  </mergeCells>
  <pageMargins left="0.7" right="0.7" top="0.75" bottom="0.75" header="0.3" footer="0.3"/>
  <pageSetup paperSize="1"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0"/>
  <sheetViews>
    <sheetView tabSelected="1" topLeftCell="A54" workbookViewId="0">
      <selection activeCell="D5" sqref="D5"/>
    </sheetView>
  </sheetViews>
  <sheetFormatPr defaultColWidth="10.2857142857143" defaultRowHeight="15"/>
  <cols>
    <col min="1" max="1" width="3.28571428571429" style="33" customWidth="1"/>
    <col min="5" max="5" width="15.1428571428571" style="33" customWidth="1"/>
    <col min="6" max="6" width="40.4285714285714" style="33" customWidth="1"/>
    <col min="7" max="7" width="36.5714285714286" style="33" customWidth="1"/>
  </cols>
  <sheetData>
    <row r="1" spans="1:10">
      <c r="D1" s="34" t="s">
        <v>376</v>
      </c>
    </row>
    <row r="2" spans="1:10">
      <c r="F2" s="35" t="s">
        <v>377</v>
      </c>
      <c r="G2" s="40" t="s">
        <v>378</v>
      </c>
    </row>
    <row r="3" spans="1:10">
      <c r="F3" s="35" t="s">
        <v>379</v>
      </c>
      <c r="G3" s="40" t="s">
        <v>380</v>
      </c>
    </row>
    <row r="4" spans="1:10">
      <c r="F4" s="35" t="s">
        <v>99</v>
      </c>
      <c r="G4" s="41">
        <f>COUNTIF($H$12:$H$1111,"Passed")</f>
        <v>18</v>
      </c>
    </row>
    <row r="5" spans="1:10">
      <c r="F5" s="35" t="s">
        <v>100</v>
      </c>
      <c r="G5" s="41">
        <f>COUNTIF($H$12:$H$1111,"Failed")</f>
        <v>1</v>
      </c>
    </row>
    <row r="6" spans="1:10">
      <c r="F6" s="35" t="s">
        <v>101</v>
      </c>
      <c r="G6" s="41">
        <f>COUNTIF($H$12:$H$1130,"PE")</f>
        <v>2</v>
      </c>
    </row>
    <row r="7" spans="1:10">
      <c r="F7" s="35" t="s">
        <v>102</v>
      </c>
      <c r="G7" s="41">
        <f>COUNTIF($H$12:$H$1111,"Not run")</f>
        <v>1</v>
      </c>
      <c r="H7" t="s">
        <v>381</v>
      </c>
    </row>
    <row r="8" spans="1:10">
      <c r="F8" s="35" t="s">
        <v>103</v>
      </c>
      <c r="G8" s="41">
        <f>COUNTA($D$12:$D$1130)</f>
        <v>32</v>
      </c>
    </row>
    <row r="10" spans="1:10">
      <c r="A10" s="42" t="s">
        <v>1</v>
      </c>
      <c r="B10" t="s">
        <v>382</v>
      </c>
    </row>
    <row r="11" spans="1:10">
      <c r="A11" s="43"/>
      <c r="B11" s="162" t="s">
        <v>383</v>
      </c>
    </row>
    <row r="12" spans="1:10">
      <c r="B12" s="44" t="s">
        <v>384</v>
      </c>
    </row>
    <row r="13" spans="1:10">
      <c r="B13" s="162" t="s">
        <v>385</v>
      </c>
    </row>
    <row r="14" spans="1:10">
      <c r="B14" s="44"/>
      <c r="C14" s="38" t="s">
        <v>386</v>
      </c>
      <c r="D14" s="38" t="s">
        <v>387</v>
      </c>
      <c r="E14" s="38" t="s">
        <v>86</v>
      </c>
      <c r="F14" s="38" t="s">
        <v>388</v>
      </c>
      <c r="G14" s="38" t="s">
        <v>389</v>
      </c>
      <c r="H14" s="38" t="s">
        <v>390</v>
      </c>
      <c r="J14" s="44"/>
    </row>
    <row r="15" ht="30" customHeight="1" spans="1:10">
      <c r="B15" s="44"/>
      <c r="C15" s="39" t="s">
        <v>391</v>
      </c>
      <c r="D15" s="39" t="s">
        <v>392</v>
      </c>
      <c r="E15" s="39" t="s">
        <v>393</v>
      </c>
      <c r="F15" s="39" t="s">
        <v>394</v>
      </c>
      <c r="G15" s="39" t="s">
        <v>395</v>
      </c>
      <c r="H15" s="39" t="s">
        <v>396</v>
      </c>
      <c r="I15" s="44"/>
      <c r="J15" s="44"/>
    </row>
    <row r="16" ht="45" customHeight="1" spans="1:10">
      <c r="B16" s="44"/>
      <c r="C16" s="39" t="s">
        <v>397</v>
      </c>
      <c r="D16" s="39" t="s">
        <v>398</v>
      </c>
      <c r="E16" s="39" t="s">
        <v>399</v>
      </c>
      <c r="F16" s="39" t="s">
        <v>400</v>
      </c>
      <c r="G16" s="39" t="s">
        <v>401</v>
      </c>
      <c r="H16" s="39" t="s">
        <v>396</v>
      </c>
      <c r="I16" s="44"/>
      <c r="J16" s="44"/>
    </row>
    <row r="17" ht="30" customHeight="1" spans="1:10">
      <c r="B17" s="44"/>
      <c r="C17" s="39" t="s">
        <v>402</v>
      </c>
      <c r="D17" s="39" t="s">
        <v>403</v>
      </c>
      <c r="E17" s="39" t="s">
        <v>404</v>
      </c>
      <c r="F17" s="39" t="s">
        <v>405</v>
      </c>
      <c r="G17" s="39" t="s">
        <v>406</v>
      </c>
      <c r="H17" s="39" t="s">
        <v>396</v>
      </c>
      <c r="I17" s="44"/>
      <c r="J17" s="44"/>
    </row>
    <row r="18" ht="30" customHeight="1" spans="1:10">
      <c r="B18" s="34"/>
      <c r="C18" s="39" t="s">
        <v>407</v>
      </c>
      <c r="D18" s="39" t="s">
        <v>408</v>
      </c>
      <c r="E18" s="39" t="s">
        <v>409</v>
      </c>
      <c r="F18" s="39" t="s">
        <v>410</v>
      </c>
      <c r="G18" s="39" t="s">
        <v>411</v>
      </c>
      <c r="H18" s="39" t="s">
        <v>396</v>
      </c>
      <c r="I18" s="34"/>
      <c r="J18" s="34"/>
    </row>
    <row r="19" spans="1:10">
      <c r="B19" s="34"/>
      <c r="C19" s="34"/>
      <c r="D19" s="34"/>
      <c r="E19" s="34"/>
      <c r="F19" s="44"/>
      <c r="G19" s="44"/>
      <c r="H19" s="44"/>
      <c r="I19" s="34"/>
      <c r="J19" s="34"/>
    </row>
    <row r="20" spans="1:10">
      <c r="B20" s="34"/>
      <c r="C20" s="34"/>
      <c r="D20" s="34"/>
      <c r="E20" s="34"/>
      <c r="F20" s="44"/>
      <c r="G20" s="44"/>
      <c r="H20" s="44"/>
      <c r="I20" s="34"/>
      <c r="J20" s="34"/>
    </row>
    <row r="21" spans="1:10">
      <c r="B21" s="34"/>
      <c r="C21" s="34"/>
      <c r="D21" s="34"/>
      <c r="E21" s="34"/>
      <c r="F21" s="44"/>
      <c r="G21" s="44"/>
      <c r="H21" s="44"/>
      <c r="I21" s="34"/>
      <c r="J21" s="34"/>
    </row>
    <row r="22" spans="1:10">
      <c r="B22" s="34"/>
      <c r="C22" s="34"/>
      <c r="D22" s="34"/>
      <c r="E22" s="34"/>
      <c r="F22" s="44"/>
      <c r="G22" s="44"/>
      <c r="H22" s="44"/>
      <c r="I22" s="34"/>
      <c r="J22" s="34"/>
    </row>
    <row r="23" spans="1:10">
      <c r="B23" s="34"/>
      <c r="C23" s="34"/>
      <c r="D23" s="34"/>
      <c r="E23" s="34"/>
      <c r="F23" s="44"/>
      <c r="G23" s="44"/>
      <c r="H23" s="44"/>
      <c r="I23" s="34"/>
      <c r="J23" s="34"/>
    </row>
    <row r="24" spans="1:10">
      <c r="B24" s="34"/>
      <c r="C24" s="34"/>
      <c r="D24" s="34"/>
      <c r="E24" s="34"/>
      <c r="F24" s="44"/>
      <c r="G24" s="34"/>
      <c r="H24" s="34"/>
      <c r="I24" s="34"/>
      <c r="J24" s="34"/>
    </row>
    <row r="25" ht="15.95" customHeight="1" spans="1:10">
      <c r="B25" s="34"/>
    </row>
    <row r="26" spans="1:10">
      <c r="A26" t="s">
        <v>12</v>
      </c>
      <c r="B26" t="s">
        <v>412</v>
      </c>
      <c r="E26"/>
    </row>
    <row r="27" spans="1:10">
      <c r="A27" t="s">
        <v>14</v>
      </c>
      <c r="B27" s="44" t="s">
        <v>413</v>
      </c>
      <c r="E27"/>
      <c r="F27"/>
    </row>
    <row r="28" spans="1:10">
      <c r="C28" s="38" t="s">
        <v>386</v>
      </c>
      <c r="D28" s="38" t="s">
        <v>387</v>
      </c>
      <c r="E28" s="38" t="s">
        <v>86</v>
      </c>
      <c r="F28" s="38" t="s">
        <v>388</v>
      </c>
      <c r="G28" s="38" t="s">
        <v>389</v>
      </c>
      <c r="H28" s="38" t="s">
        <v>390</v>
      </c>
    </row>
    <row r="29" ht="30" customHeight="1" spans="1:10">
      <c r="C29" s="39" t="s">
        <v>414</v>
      </c>
      <c r="D29" s="39" t="s">
        <v>415</v>
      </c>
      <c r="E29" s="39" t="s">
        <v>416</v>
      </c>
      <c r="F29" s="39" t="s">
        <v>417</v>
      </c>
      <c r="G29" s="39" t="s">
        <v>418</v>
      </c>
      <c r="H29" s="39" t="s">
        <v>396</v>
      </c>
    </row>
    <row r="30" ht="30" customHeight="1" spans="1:10">
      <c r="C30" s="39" t="s">
        <v>419</v>
      </c>
      <c r="D30" s="39" t="s">
        <v>415</v>
      </c>
      <c r="E30" s="39" t="s">
        <v>420</v>
      </c>
      <c r="F30" s="39" t="s">
        <v>421</v>
      </c>
      <c r="G30" s="39" t="s">
        <v>422</v>
      </c>
      <c r="H30" s="39" t="s">
        <v>396</v>
      </c>
    </row>
    <row r="31" ht="30" customHeight="1" spans="1:10">
      <c r="C31" s="39" t="s">
        <v>423</v>
      </c>
      <c r="D31" s="39" t="s">
        <v>415</v>
      </c>
      <c r="E31" s="39" t="s">
        <v>424</v>
      </c>
      <c r="F31" s="39" t="s">
        <v>425</v>
      </c>
      <c r="G31" s="39"/>
      <c r="H31" s="39" t="s">
        <v>426</v>
      </c>
    </row>
    <row r="32" spans="1:10">
      <c r="A32" t="s">
        <v>17</v>
      </c>
      <c r="B32" s="44" t="s">
        <v>427</v>
      </c>
      <c r="E32"/>
      <c r="F32"/>
    </row>
    <row r="33" spans="1:8">
      <c r="C33" s="38" t="s">
        <v>386</v>
      </c>
      <c r="D33" s="38" t="s">
        <v>387</v>
      </c>
      <c r="E33" s="38" t="s">
        <v>86</v>
      </c>
      <c r="F33" s="38" t="s">
        <v>388</v>
      </c>
      <c r="G33" s="38" t="s">
        <v>389</v>
      </c>
      <c r="H33" s="38" t="s">
        <v>390</v>
      </c>
    </row>
    <row r="34" ht="30" customHeight="1" spans="1:8">
      <c r="C34" s="39" t="s">
        <v>428</v>
      </c>
      <c r="D34" s="39" t="s">
        <v>429</v>
      </c>
      <c r="E34" s="39" t="s">
        <v>430</v>
      </c>
      <c r="F34" s="39" t="s">
        <v>431</v>
      </c>
      <c r="G34" s="39" t="s">
        <v>432</v>
      </c>
      <c r="H34" s="39" t="s">
        <v>396</v>
      </c>
    </row>
    <row r="35" ht="30" customHeight="1" spans="1:8">
      <c r="C35" s="39" t="s">
        <v>433</v>
      </c>
      <c r="D35" s="39" t="s">
        <v>429</v>
      </c>
      <c r="E35" s="39" t="s">
        <v>434</v>
      </c>
      <c r="F35" s="39" t="s">
        <v>435</v>
      </c>
      <c r="G35" s="39"/>
      <c r="H35" s="39" t="s">
        <v>396</v>
      </c>
    </row>
    <row r="36" spans="1:8">
      <c r="A36" t="s">
        <v>30</v>
      </c>
      <c r="B36" s="44" t="s">
        <v>436</v>
      </c>
      <c r="D36" s="45"/>
      <c r="E36" s="45"/>
      <c r="F36" s="45"/>
      <c r="G36" s="45"/>
      <c r="H36" s="45"/>
    </row>
    <row r="37" spans="1:8">
      <c r="C37" s="46" t="s">
        <v>386</v>
      </c>
      <c r="D37" s="46" t="s">
        <v>387</v>
      </c>
      <c r="E37" s="46" t="s">
        <v>86</v>
      </c>
      <c r="F37" s="46" t="s">
        <v>388</v>
      </c>
      <c r="G37" s="46" t="s">
        <v>389</v>
      </c>
      <c r="H37" s="46" t="s">
        <v>390</v>
      </c>
    </row>
    <row r="38" ht="30" customHeight="1" spans="1:8">
      <c r="C38" s="47" t="s">
        <v>437</v>
      </c>
      <c r="D38" s="47" t="s">
        <v>438</v>
      </c>
      <c r="E38" s="47" t="s">
        <v>422</v>
      </c>
      <c r="F38" s="47" t="s">
        <v>439</v>
      </c>
      <c r="G38" s="47" t="s">
        <v>440</v>
      </c>
      <c r="H38" s="47" t="s">
        <v>396</v>
      </c>
    </row>
    <row r="39" ht="30" customHeight="1" spans="1:8">
      <c r="C39" s="47" t="s">
        <v>441</v>
      </c>
      <c r="D39" s="47" t="s">
        <v>438</v>
      </c>
      <c r="E39" s="47" t="s">
        <v>442</v>
      </c>
      <c r="F39" s="47" t="s">
        <v>443</v>
      </c>
      <c r="G39" s="47" t="s">
        <v>444</v>
      </c>
      <c r="H39" s="47" t="s">
        <v>396</v>
      </c>
    </row>
    <row r="40" ht="30" customHeight="1" spans="1:8">
      <c r="C40" s="47" t="s">
        <v>445</v>
      </c>
      <c r="D40" s="47" t="s">
        <v>438</v>
      </c>
      <c r="E40" s="47" t="s">
        <v>446</v>
      </c>
      <c r="F40" s="47" t="s">
        <v>447</v>
      </c>
      <c r="G40" s="47"/>
      <c r="H40" s="47" t="s">
        <v>396</v>
      </c>
    </row>
    <row r="41" ht="30" customHeight="1" spans="1:8">
      <c r="C41" s="47" t="s">
        <v>448</v>
      </c>
      <c r="D41" s="47" t="s">
        <v>438</v>
      </c>
      <c r="E41" s="47" t="s">
        <v>449</v>
      </c>
      <c r="F41" s="47" t="s">
        <v>450</v>
      </c>
      <c r="G41" s="47" t="s">
        <v>451</v>
      </c>
      <c r="H41" s="47" t="s">
        <v>396</v>
      </c>
    </row>
    <row r="42" spans="1:8">
      <c r="A42" t="s">
        <v>70</v>
      </c>
      <c r="B42" s="44" t="s">
        <v>452</v>
      </c>
    </row>
    <row r="43" spans="1:8">
      <c r="A43" t="s">
        <v>14</v>
      </c>
      <c r="B43" s="44" t="s">
        <v>453</v>
      </c>
    </row>
    <row r="44" spans="1:8">
      <c r="B44" s="48"/>
      <c r="C44" s="38" t="s">
        <v>386</v>
      </c>
      <c r="D44" s="38" t="s">
        <v>387</v>
      </c>
      <c r="E44" s="38" t="s">
        <v>86</v>
      </c>
      <c r="F44" s="38" t="s">
        <v>388</v>
      </c>
      <c r="G44" s="38" t="s">
        <v>389</v>
      </c>
      <c r="H44" s="38" t="s">
        <v>390</v>
      </c>
    </row>
    <row r="45" ht="30" customHeight="1" spans="1:8">
      <c r="B45" s="48"/>
      <c r="C45" s="39" t="s">
        <v>454</v>
      </c>
      <c r="D45" s="39" t="s">
        <v>415</v>
      </c>
      <c r="E45" s="39" t="s">
        <v>455</v>
      </c>
      <c r="F45" s="39" t="s">
        <v>456</v>
      </c>
      <c r="G45" s="39" t="s">
        <v>457</v>
      </c>
      <c r="H45" s="39" t="s">
        <v>396</v>
      </c>
    </row>
    <row r="46" ht="30" customHeight="1" spans="1:8">
      <c r="C46" s="39" t="s">
        <v>458</v>
      </c>
      <c r="D46" s="39" t="s">
        <v>415</v>
      </c>
      <c r="E46" s="39" t="s">
        <v>459</v>
      </c>
      <c r="F46" s="39" t="s">
        <v>460</v>
      </c>
      <c r="G46" s="39" t="s">
        <v>461</v>
      </c>
      <c r="H46" s="39" t="s">
        <v>396</v>
      </c>
    </row>
    <row r="47" spans="1:8">
      <c r="A47" t="s">
        <v>17</v>
      </c>
      <c r="B47" t="s">
        <v>462</v>
      </c>
      <c r="E47"/>
      <c r="F47"/>
      <c r="G47"/>
    </row>
    <row r="48" spans="1:8">
      <c r="C48" s="38" t="s">
        <v>386</v>
      </c>
      <c r="D48" s="38" t="s">
        <v>387</v>
      </c>
      <c r="E48" s="38" t="s">
        <v>86</v>
      </c>
      <c r="F48" s="38" t="s">
        <v>388</v>
      </c>
      <c r="G48" s="38" t="s">
        <v>389</v>
      </c>
      <c r="H48" s="38" t="s">
        <v>390</v>
      </c>
    </row>
    <row r="49" spans="1:8">
      <c r="C49" s="39" t="s">
        <v>463</v>
      </c>
      <c r="D49" s="39" t="s">
        <v>464</v>
      </c>
      <c r="E49" s="39" t="s">
        <v>465</v>
      </c>
      <c r="F49" s="39" t="s">
        <v>466</v>
      </c>
      <c r="G49" s="39" t="s">
        <v>467</v>
      </c>
      <c r="H49" s="39" t="s">
        <v>396</v>
      </c>
    </row>
    <row r="50" ht="30" customHeight="1" spans="1:8">
      <c r="B50" s="49"/>
      <c r="C50" s="39" t="s">
        <v>468</v>
      </c>
      <c r="D50" s="39" t="s">
        <v>469</v>
      </c>
      <c r="E50" s="39" t="s">
        <v>470</v>
      </c>
      <c r="F50" s="39" t="s">
        <v>471</v>
      </c>
      <c r="G50" s="39" t="s">
        <v>472</v>
      </c>
      <c r="H50" s="39" t="s">
        <v>396</v>
      </c>
    </row>
    <row r="51" spans="1:8">
      <c r="A51" t="s">
        <v>30</v>
      </c>
      <c r="B51" s="44" t="s">
        <v>473</v>
      </c>
      <c r="E51" s="50"/>
      <c r="F51" s="50"/>
      <c r="G51" s="50"/>
      <c r="H51" s="50"/>
    </row>
    <row r="52" spans="1:8">
      <c r="C52" s="38" t="s">
        <v>386</v>
      </c>
      <c r="D52" s="38" t="s">
        <v>387</v>
      </c>
      <c r="E52" s="38" t="s">
        <v>86</v>
      </c>
      <c r="F52" s="38" t="s">
        <v>388</v>
      </c>
      <c r="G52" s="38" t="s">
        <v>389</v>
      </c>
      <c r="H52" s="38" t="s">
        <v>390</v>
      </c>
    </row>
    <row r="53" ht="30" customHeight="1" spans="1:8">
      <c r="C53" s="39" t="s">
        <v>474</v>
      </c>
      <c r="D53" s="39" t="s">
        <v>475</v>
      </c>
      <c r="E53" s="39" t="s">
        <v>476</v>
      </c>
      <c r="F53" s="39" t="s">
        <v>477</v>
      </c>
      <c r="G53" s="39" t="s">
        <v>478</v>
      </c>
      <c r="H53" s="39" t="s">
        <v>396</v>
      </c>
    </row>
    <row r="54" ht="45" spans="1:8">
      <c r="C54" s="39" t="s">
        <v>479</v>
      </c>
      <c r="D54" s="39" t="s">
        <v>475</v>
      </c>
      <c r="E54" s="39" t="s">
        <v>480</v>
      </c>
      <c r="F54" s="39" t="s">
        <v>481</v>
      </c>
      <c r="G54" s="39" t="s">
        <v>482</v>
      </c>
      <c r="H54" s="39" t="s">
        <v>396</v>
      </c>
    </row>
    <row r="55" spans="1:8">
      <c r="A55" t="s">
        <v>79</v>
      </c>
      <c r="B55" s="44" t="s">
        <v>483</v>
      </c>
      <c r="E55" s="51"/>
      <c r="F55" s="51"/>
      <c r="G55" s="51"/>
      <c r="H55" s="51"/>
    </row>
    <row r="56" spans="1:8">
      <c r="A56" t="s">
        <v>14</v>
      </c>
      <c r="B56" s="44" t="s">
        <v>484</v>
      </c>
      <c r="E56" s="51"/>
      <c r="F56" s="51"/>
      <c r="G56" s="51"/>
      <c r="H56" s="51"/>
    </row>
    <row r="57" spans="1:8">
      <c r="C57" s="38" t="s">
        <v>386</v>
      </c>
      <c r="D57" s="38" t="s">
        <v>387</v>
      </c>
      <c r="E57" s="38" t="s">
        <v>86</v>
      </c>
      <c r="F57" s="38" t="s">
        <v>388</v>
      </c>
      <c r="G57" s="38" t="s">
        <v>389</v>
      </c>
      <c r="H57" s="38" t="s">
        <v>390</v>
      </c>
    </row>
    <row r="58" ht="30" customHeight="1" spans="1:8">
      <c r="C58" s="39" t="s">
        <v>485</v>
      </c>
      <c r="D58" s="39" t="s">
        <v>486</v>
      </c>
      <c r="E58" s="39" t="s">
        <v>487</v>
      </c>
      <c r="F58" s="39" t="s">
        <v>488</v>
      </c>
      <c r="G58" s="39">
        <f>1</f>
        <v>1</v>
      </c>
      <c r="H58" s="39" t="s">
        <v>489</v>
      </c>
    </row>
    <row r="59" ht="30" customHeight="1" spans="1:8">
      <c r="C59" s="39" t="s">
        <v>490</v>
      </c>
      <c r="D59" s="39" t="s">
        <v>486</v>
      </c>
      <c r="E59" s="39" t="s">
        <v>491</v>
      </c>
      <c r="F59" s="39" t="s">
        <v>492</v>
      </c>
      <c r="G59" s="39" t="s">
        <v>493</v>
      </c>
      <c r="H59" s="39" t="s">
        <v>489</v>
      </c>
    </row>
    <row r="60" spans="1:8">
      <c r="A60" t="s">
        <v>17</v>
      </c>
      <c r="B60" s="44" t="s">
        <v>494</v>
      </c>
      <c r="E60"/>
      <c r="F60"/>
      <c r="G60"/>
    </row>
    <row r="61" spans="1:8">
      <c r="C61" s="38" t="s">
        <v>386</v>
      </c>
      <c r="D61" s="38" t="s">
        <v>387</v>
      </c>
      <c r="E61" s="38" t="s">
        <v>86</v>
      </c>
      <c r="F61" s="38" t="s">
        <v>388</v>
      </c>
      <c r="G61" s="38" t="s">
        <v>389</v>
      </c>
      <c r="H61" s="38" t="s">
        <v>390</v>
      </c>
    </row>
    <row r="62" ht="30" customHeight="1" spans="1:8">
      <c r="C62" s="39" t="s">
        <v>495</v>
      </c>
      <c r="D62" s="39" t="s">
        <v>496</v>
      </c>
      <c r="E62" s="39" t="s">
        <v>497</v>
      </c>
      <c r="F62" s="39" t="s">
        <v>417</v>
      </c>
      <c r="G62" s="39" t="s">
        <v>498</v>
      </c>
      <c r="H62" s="39" t="s">
        <v>499</v>
      </c>
    </row>
    <row r="63" ht="30" customHeight="1" spans="1:8">
      <c r="C63" s="39" t="s">
        <v>500</v>
      </c>
      <c r="D63" s="39" t="s">
        <v>496</v>
      </c>
      <c r="E63" s="39" t="s">
        <v>501</v>
      </c>
      <c r="F63" s="39" t="s">
        <v>492</v>
      </c>
      <c r="G63" s="39" t="s">
        <v>502</v>
      </c>
      <c r="H63" s="39" t="s">
        <v>503</v>
      </c>
    </row>
    <row r="66" spans="6:6">
      <c r="F66" t="s">
        <v>504</v>
      </c>
    </row>
    <row r="67" spans="6:6">
      <c r="F67" t="s">
        <v>505</v>
      </c>
    </row>
    <row r="69" spans="6:6">
      <c r="F69" s="52" t="s">
        <v>506</v>
      </c>
    </row>
    <row r="70" spans="6:6">
      <c r="F70" s="52" t="s">
        <v>507</v>
      </c>
    </row>
  </sheetData>
  <mergeCells count="14">
    <mergeCell ref="D1:I1"/>
    <mergeCell ref="B11:J11"/>
    <mergeCell ref="B12:J12"/>
    <mergeCell ref="B13:J13"/>
    <mergeCell ref="B25:J25"/>
    <mergeCell ref="B27:C27"/>
    <mergeCell ref="B32:C32"/>
    <mergeCell ref="B36:C36"/>
    <mergeCell ref="B42:D42"/>
    <mergeCell ref="B43:D43"/>
    <mergeCell ref="B51:C51"/>
    <mergeCell ref="B55:D55"/>
    <mergeCell ref="B56:C56"/>
    <mergeCell ref="B60:C60"/>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50"/>
  <sheetViews>
    <sheetView topLeftCell="A7" workbookViewId="0">
      <selection activeCell="A1" sqref="A1:S1"/>
    </sheetView>
  </sheetViews>
  <sheetFormatPr defaultColWidth="9.14285714285714" defaultRowHeight="15"/>
  <cols>
    <col min="8" max="8" width="25.1428571428571" style="33" customWidth="1"/>
    <col min="9" max="9" width="35.1428571428571" style="33" customWidth="1"/>
    <col min="10" max="10" width="29.2857142857143" customWidth="1"/>
  </cols>
  <sheetData>
    <row r="1" spans="1:11">
      <c r="A1" s="34" t="s">
        <v>508</v>
      </c>
    </row>
    <row r="2" spans="1:11">
      <c r="I2" s="35" t="s">
        <v>377</v>
      </c>
      <c r="J2" s="36" t="s">
        <v>378</v>
      </c>
    </row>
    <row r="3" spans="1:11">
      <c r="I3" s="35" t="s">
        <v>379</v>
      </c>
      <c r="J3" s="36" t="s">
        <v>380</v>
      </c>
    </row>
    <row r="4" spans="1:11">
      <c r="I4" s="35" t="s">
        <v>99</v>
      </c>
      <c r="J4" s="37">
        <f>COUNTIF($Q$12:$Q$1111,"P")</f>
        <v>0</v>
      </c>
    </row>
    <row r="5" spans="1:11">
      <c r="I5" s="35" t="s">
        <v>100</v>
      </c>
      <c r="J5" s="37">
        <f>COUNTIF($Q$12:$Q$1130,"F")</f>
        <v>0</v>
      </c>
    </row>
    <row r="6" spans="1:11">
      <c r="I6" s="35" t="s">
        <v>101</v>
      </c>
      <c r="J6" s="37">
        <f>COUNTIF($Q$12:$Q$1130,"PE")</f>
        <v>0</v>
      </c>
    </row>
    <row r="7" spans="1:11">
      <c r="I7" s="35" t="s">
        <v>102</v>
      </c>
      <c r="J7" s="37">
        <f>J8-J4-J5-J6</f>
        <v>0</v>
      </c>
    </row>
    <row r="8" spans="1:11">
      <c r="I8" s="35" t="s">
        <v>103</v>
      </c>
      <c r="J8" s="37">
        <f>COUNTA($D$12:$D$1130)</f>
        <v>0</v>
      </c>
    </row>
    <row r="9" spans="1:11">
      <c r="B9" t="s">
        <v>509</v>
      </c>
    </row>
    <row r="10" ht="30" customHeight="1" spans="1:11">
      <c r="F10" s="38" t="s">
        <v>386</v>
      </c>
      <c r="G10" s="38" t="s">
        <v>387</v>
      </c>
      <c r="H10" s="38" t="s">
        <v>86</v>
      </c>
      <c r="I10" s="38" t="s">
        <v>388</v>
      </c>
      <c r="J10" s="38" t="s">
        <v>389</v>
      </c>
      <c r="K10" s="38" t="s">
        <v>390</v>
      </c>
    </row>
    <row r="11" ht="30" customHeight="1" spans="1:11">
      <c r="F11" s="39" t="s">
        <v>510</v>
      </c>
      <c r="G11" s="39" t="s">
        <v>511</v>
      </c>
      <c r="H11" s="39" t="s">
        <v>512</v>
      </c>
      <c r="I11" s="39" t="s">
        <v>513</v>
      </c>
      <c r="J11" s="39" t="s">
        <v>514</v>
      </c>
      <c r="K11" s="39" t="s">
        <v>515</v>
      </c>
    </row>
    <row r="12" spans="1:11">
      <c r="F12" s="39" t="s">
        <v>516</v>
      </c>
      <c r="G12" s="39" t="s">
        <v>517</v>
      </c>
      <c r="H12" s="39" t="s">
        <v>518</v>
      </c>
      <c r="I12" s="39" t="s">
        <v>519</v>
      </c>
      <c r="J12" s="39" t="s">
        <v>520</v>
      </c>
      <c r="K12" s="39" t="s">
        <v>515</v>
      </c>
    </row>
    <row r="13" spans="1:11">
      <c r="B13" t="s">
        <v>521</v>
      </c>
    </row>
    <row r="14" spans="1:11">
      <c r="B14" t="s">
        <v>522</v>
      </c>
    </row>
    <row r="15" ht="30" customHeight="1" spans="1:11">
      <c r="F15" s="38" t="s">
        <v>386</v>
      </c>
      <c r="G15" s="38" t="s">
        <v>387</v>
      </c>
      <c r="H15" s="38" t="s">
        <v>86</v>
      </c>
      <c r="I15" s="38" t="s">
        <v>388</v>
      </c>
      <c r="J15" s="38" t="s">
        <v>389</v>
      </c>
      <c r="K15" s="38" t="s">
        <v>390</v>
      </c>
    </row>
    <row r="16" ht="30" customHeight="1" spans="1:11">
      <c r="F16" s="39" t="s">
        <v>523</v>
      </c>
      <c r="G16" s="39" t="s">
        <v>524</v>
      </c>
      <c r="H16" s="39" t="s">
        <v>525</v>
      </c>
      <c r="I16" s="39" t="s">
        <v>526</v>
      </c>
      <c r="J16" s="39" t="s">
        <v>527</v>
      </c>
      <c r="K16" s="39" t="s">
        <v>515</v>
      </c>
    </row>
    <row r="17" ht="30" customHeight="1" spans="2:11">
      <c r="F17" s="39" t="s">
        <v>528</v>
      </c>
      <c r="G17" s="39" t="s">
        <v>524</v>
      </c>
      <c r="H17" s="39" t="s">
        <v>529</v>
      </c>
      <c r="I17" s="39" t="s">
        <v>511</v>
      </c>
      <c r="J17" s="39" t="s">
        <v>530</v>
      </c>
      <c r="K17" s="39" t="s">
        <v>515</v>
      </c>
    </row>
    <row r="18" spans="2:11">
      <c r="B18" t="s">
        <v>531</v>
      </c>
    </row>
    <row r="19" ht="30" customHeight="1" spans="2:11">
      <c r="F19" s="38" t="s">
        <v>386</v>
      </c>
      <c r="G19" s="38" t="s">
        <v>387</v>
      </c>
      <c r="H19" s="38" t="s">
        <v>86</v>
      </c>
      <c r="I19" s="38" t="s">
        <v>388</v>
      </c>
      <c r="J19" s="38" t="s">
        <v>389</v>
      </c>
      <c r="K19" s="38" t="s">
        <v>390</v>
      </c>
    </row>
    <row r="20" ht="30" customHeight="1" spans="2:11">
      <c r="F20" s="39" t="s">
        <v>532</v>
      </c>
      <c r="G20" s="39" t="s">
        <v>533</v>
      </c>
      <c r="H20" s="39" t="s">
        <v>534</v>
      </c>
      <c r="I20" s="39" t="s">
        <v>535</v>
      </c>
      <c r="J20" s="39" t="s">
        <v>536</v>
      </c>
      <c r="K20" s="39" t="s">
        <v>515</v>
      </c>
    </row>
    <row r="21" ht="30" customHeight="1" spans="2:11">
      <c r="F21" s="39" t="s">
        <v>537</v>
      </c>
      <c r="G21" s="39" t="s">
        <v>533</v>
      </c>
      <c r="H21" s="39" t="s">
        <v>538</v>
      </c>
      <c r="I21" s="39" t="s">
        <v>511</v>
      </c>
      <c r="J21" s="39" t="s">
        <v>539</v>
      </c>
      <c r="K21" s="39" t="s">
        <v>515</v>
      </c>
    </row>
    <row r="22" spans="2:11">
      <c r="B22" t="s">
        <v>540</v>
      </c>
    </row>
    <row r="23" ht="30" customHeight="1" spans="2:11">
      <c r="F23" s="38" t="s">
        <v>386</v>
      </c>
      <c r="G23" s="38" t="s">
        <v>387</v>
      </c>
      <c r="H23" s="38" t="s">
        <v>86</v>
      </c>
      <c r="I23" s="38" t="s">
        <v>388</v>
      </c>
      <c r="J23" s="38" t="s">
        <v>389</v>
      </c>
      <c r="K23" s="38" t="s">
        <v>390</v>
      </c>
    </row>
    <row r="24" spans="2:11">
      <c r="F24" s="39" t="s">
        <v>541</v>
      </c>
      <c r="G24" s="39" t="s">
        <v>542</v>
      </c>
      <c r="H24" s="39" t="s">
        <v>543</v>
      </c>
      <c r="I24" s="39" t="s">
        <v>544</v>
      </c>
      <c r="J24" s="39" t="s">
        <v>545</v>
      </c>
      <c r="K24" s="39" t="s">
        <v>515</v>
      </c>
    </row>
    <row r="25" spans="2:11">
      <c r="F25" s="39" t="s">
        <v>546</v>
      </c>
      <c r="G25" s="39" t="s">
        <v>542</v>
      </c>
      <c r="H25" s="39" t="s">
        <v>547</v>
      </c>
      <c r="I25" s="39" t="s">
        <v>548</v>
      </c>
      <c r="J25" s="39" t="s">
        <v>530</v>
      </c>
      <c r="K25" s="39" t="s">
        <v>515</v>
      </c>
    </row>
    <row r="26" spans="2:11">
      <c r="B26" t="s">
        <v>549</v>
      </c>
    </row>
    <row r="27" spans="2:11">
      <c r="B27" t="s">
        <v>550</v>
      </c>
    </row>
    <row r="28" ht="30" customHeight="1" spans="2:11">
      <c r="F28" s="38" t="s">
        <v>386</v>
      </c>
      <c r="G28" s="38" t="s">
        <v>387</v>
      </c>
      <c r="H28" s="38" t="s">
        <v>86</v>
      </c>
      <c r="I28" s="38" t="s">
        <v>388</v>
      </c>
      <c r="J28" s="38" t="s">
        <v>389</v>
      </c>
      <c r="K28" s="38" t="s">
        <v>390</v>
      </c>
    </row>
    <row r="29" spans="2:11">
      <c r="F29" s="39" t="s">
        <v>551</v>
      </c>
      <c r="G29" s="39" t="s">
        <v>552</v>
      </c>
      <c r="H29" s="39" t="s">
        <v>553</v>
      </c>
      <c r="I29" s="39" t="s">
        <v>554</v>
      </c>
      <c r="J29" s="39" t="s">
        <v>555</v>
      </c>
      <c r="K29" s="39" t="s">
        <v>515</v>
      </c>
    </row>
    <row r="30" spans="2:11">
      <c r="F30" s="39" t="s">
        <v>556</v>
      </c>
      <c r="G30" s="39" t="s">
        <v>552</v>
      </c>
      <c r="H30" s="39" t="s">
        <v>557</v>
      </c>
      <c r="I30" s="39" t="s">
        <v>548</v>
      </c>
      <c r="J30" s="39" t="s">
        <v>558</v>
      </c>
      <c r="K30" s="39" t="s">
        <v>515</v>
      </c>
    </row>
    <row r="31" spans="2:11">
      <c r="F31" s="39" t="s">
        <v>559</v>
      </c>
      <c r="G31" s="39" t="s">
        <v>552</v>
      </c>
      <c r="H31" s="39" t="s">
        <v>560</v>
      </c>
      <c r="I31" s="39" t="s">
        <v>561</v>
      </c>
      <c r="J31" s="39" t="s">
        <v>530</v>
      </c>
      <c r="K31" s="39" t="s">
        <v>515</v>
      </c>
    </row>
    <row r="32" spans="2:11">
      <c r="B32" t="s">
        <v>562</v>
      </c>
    </row>
    <row r="33" ht="30" customHeight="1" spans="2:11">
      <c r="F33" s="38" t="s">
        <v>386</v>
      </c>
      <c r="G33" s="38" t="s">
        <v>387</v>
      </c>
      <c r="H33" s="38" t="s">
        <v>86</v>
      </c>
      <c r="I33" s="38" t="s">
        <v>388</v>
      </c>
      <c r="J33" s="38" t="s">
        <v>389</v>
      </c>
      <c r="K33" s="38" t="s">
        <v>390</v>
      </c>
    </row>
    <row r="34" spans="2:11">
      <c r="F34" s="39" t="s">
        <v>563</v>
      </c>
      <c r="G34" s="39" t="s">
        <v>564</v>
      </c>
      <c r="H34" s="39" t="s">
        <v>565</v>
      </c>
      <c r="I34" s="39" t="s">
        <v>513</v>
      </c>
      <c r="J34" s="39" t="s">
        <v>566</v>
      </c>
      <c r="K34" s="39" t="s">
        <v>515</v>
      </c>
    </row>
    <row r="35" spans="2:11">
      <c r="F35" s="39" t="s">
        <v>567</v>
      </c>
      <c r="G35" s="39" t="s">
        <v>564</v>
      </c>
      <c r="H35" s="39" t="s">
        <v>421</v>
      </c>
      <c r="I35" s="39" t="s">
        <v>477</v>
      </c>
      <c r="J35" s="39" t="s">
        <v>527</v>
      </c>
      <c r="K35" s="39" t="s">
        <v>515</v>
      </c>
    </row>
    <row r="36" spans="2:11">
      <c r="B36" t="s">
        <v>568</v>
      </c>
    </row>
    <row r="37" ht="30" customHeight="1" spans="2:11">
      <c r="F37" s="38" t="s">
        <v>386</v>
      </c>
      <c r="G37" s="38" t="s">
        <v>387</v>
      </c>
      <c r="H37" s="38" t="s">
        <v>86</v>
      </c>
      <c r="I37" s="38" t="s">
        <v>388</v>
      </c>
      <c r="J37" s="38" t="s">
        <v>389</v>
      </c>
      <c r="K37" s="38" t="s">
        <v>390</v>
      </c>
    </row>
    <row r="38" spans="2:11">
      <c r="F38" s="39" t="s">
        <v>569</v>
      </c>
      <c r="G38" s="39" t="s">
        <v>570</v>
      </c>
      <c r="H38" s="39" t="s">
        <v>571</v>
      </c>
      <c r="I38" s="39" t="s">
        <v>572</v>
      </c>
      <c r="J38" s="39" t="s">
        <v>573</v>
      </c>
      <c r="K38" s="39" t="s">
        <v>515</v>
      </c>
    </row>
    <row r="39" spans="2:11">
      <c r="F39" s="39" t="s">
        <v>574</v>
      </c>
      <c r="G39" s="39" t="s">
        <v>570</v>
      </c>
      <c r="H39" s="39" t="s">
        <v>575</v>
      </c>
      <c r="I39" s="39" t="s">
        <v>576</v>
      </c>
      <c r="J39" s="39" t="s">
        <v>577</v>
      </c>
      <c r="K39" s="39" t="s">
        <v>515</v>
      </c>
    </row>
    <row r="40" spans="2:11">
      <c r="B40" t="s">
        <v>578</v>
      </c>
    </row>
    <row r="41" spans="2:11">
      <c r="B41" t="s">
        <v>579</v>
      </c>
    </row>
    <row r="42" ht="30" customHeight="1" spans="2:11">
      <c r="F42" s="38" t="s">
        <v>386</v>
      </c>
      <c r="G42" s="38" t="s">
        <v>387</v>
      </c>
      <c r="H42" s="38" t="s">
        <v>86</v>
      </c>
      <c r="I42" s="38" t="s">
        <v>388</v>
      </c>
      <c r="J42" s="38" t="s">
        <v>389</v>
      </c>
      <c r="K42" s="38" t="s">
        <v>390</v>
      </c>
    </row>
    <row r="43" ht="30" customHeight="1" spans="2:11">
      <c r="F43" s="39" t="s">
        <v>580</v>
      </c>
      <c r="G43" s="39" t="s">
        <v>581</v>
      </c>
      <c r="H43" s="39" t="s">
        <v>582</v>
      </c>
      <c r="I43" s="39" t="s">
        <v>583</v>
      </c>
      <c r="J43" s="39" t="s">
        <v>584</v>
      </c>
      <c r="K43" s="39" t="s">
        <v>515</v>
      </c>
    </row>
    <row r="44" spans="2:11">
      <c r="B44" t="s">
        <v>585</v>
      </c>
    </row>
    <row r="45" ht="30" customHeight="1" spans="2:11">
      <c r="F45" s="38" t="s">
        <v>386</v>
      </c>
      <c r="G45" s="38" t="s">
        <v>387</v>
      </c>
      <c r="H45" s="38" t="s">
        <v>86</v>
      </c>
      <c r="I45" s="38" t="s">
        <v>388</v>
      </c>
      <c r="J45" s="38" t="s">
        <v>389</v>
      </c>
      <c r="K45" s="38" t="s">
        <v>390</v>
      </c>
    </row>
    <row r="46" ht="30" customHeight="1" spans="2:11">
      <c r="F46" s="39" t="s">
        <v>586</v>
      </c>
      <c r="G46" s="39" t="s">
        <v>587</v>
      </c>
      <c r="H46" s="39" t="s">
        <v>588</v>
      </c>
      <c r="I46" s="39" t="s">
        <v>511</v>
      </c>
      <c r="J46" s="39" t="s">
        <v>566</v>
      </c>
      <c r="K46" s="39" t="s">
        <v>589</v>
      </c>
    </row>
    <row r="47" ht="30" customHeight="1" spans="2:11">
      <c r="F47" s="39" t="s">
        <v>590</v>
      </c>
      <c r="G47" s="39" t="s">
        <v>587</v>
      </c>
      <c r="H47" s="39" t="s">
        <v>591</v>
      </c>
      <c r="I47" s="39" t="s">
        <v>592</v>
      </c>
      <c r="J47" s="39" t="s">
        <v>593</v>
      </c>
      <c r="K47" s="39" t="s">
        <v>589</v>
      </c>
    </row>
    <row r="48" spans="2:11">
      <c r="B48" t="s">
        <v>594</v>
      </c>
    </row>
    <row r="49" ht="30" customHeight="1" spans="6:11">
      <c r="F49" s="38" t="s">
        <v>386</v>
      </c>
      <c r="G49" s="38" t="s">
        <v>387</v>
      </c>
      <c r="H49" s="38" t="s">
        <v>86</v>
      </c>
      <c r="I49" s="38" t="s">
        <v>388</v>
      </c>
      <c r="J49" s="38" t="s">
        <v>389</v>
      </c>
      <c r="K49" s="38" t="s">
        <v>390</v>
      </c>
    </row>
    <row r="50" ht="30" customHeight="1" spans="6:11">
      <c r="F50" s="39" t="s">
        <v>595</v>
      </c>
      <c r="G50" s="39" t="s">
        <v>596</v>
      </c>
      <c r="H50" s="39" t="s">
        <v>597</v>
      </c>
      <c r="I50" s="39" t="s">
        <v>598</v>
      </c>
      <c r="J50" s="39" t="s">
        <v>599</v>
      </c>
      <c r="K50" s="39" t="s">
        <v>515</v>
      </c>
    </row>
  </sheetData>
  <mergeCells count="1">
    <mergeCell ref="A1:S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4"/>
  <sheetViews>
    <sheetView zoomScale="80" zoomScaleNormal="80" topLeftCell="A64" workbookViewId="0">
      <selection activeCell="C6" sqref="C6"/>
    </sheetView>
  </sheetViews>
  <sheetFormatPr defaultColWidth="9" defaultRowHeight="15" outlineLevelCol="5"/>
  <cols>
    <col min="1" max="1" width="57.7142857142857" customWidth="1"/>
    <col min="2" max="2" width="37.4285714285714" customWidth="1"/>
    <col min="3" max="3" width="37.8571428571429" customWidth="1"/>
    <col min="4" max="4" width="70" customWidth="1"/>
    <col min="5" max="5" width="27.8571428571429" customWidth="1"/>
    <col min="6" max="6" width="26.2857142857143" customWidth="1"/>
  </cols>
  <sheetData>
    <row r="1" spans="1:6">
      <c r="A1" s="1"/>
      <c r="B1" s="2"/>
      <c r="C1" s="2"/>
      <c r="D1" s="2"/>
      <c r="E1" s="2"/>
      <c r="F1" s="3"/>
    </row>
    <row r="2" spans="1:6">
      <c r="A2" s="1"/>
      <c r="B2" s="2"/>
      <c r="C2" s="2"/>
      <c r="D2" s="2"/>
      <c r="E2" s="2"/>
      <c r="F2" s="3"/>
    </row>
    <row r="3" spans="1:6">
      <c r="A3" s="4" t="s">
        <v>600</v>
      </c>
      <c r="B3" s="5" t="s">
        <v>601</v>
      </c>
      <c r="C3" s="6"/>
      <c r="D3" s="6"/>
      <c r="E3" s="7"/>
      <c r="F3" s="7"/>
    </row>
    <row r="4" spans="1:6">
      <c r="A4" s="8" t="s">
        <v>602</v>
      </c>
      <c r="B4" s="9" t="s">
        <v>603</v>
      </c>
      <c r="C4" s="10"/>
      <c r="D4" s="10"/>
      <c r="E4" s="7"/>
      <c r="F4" s="7"/>
    </row>
    <row r="5" spans="1:6">
      <c r="A5" s="11" t="s">
        <v>604</v>
      </c>
      <c r="B5" s="5">
        <v>42</v>
      </c>
      <c r="C5" s="6"/>
      <c r="D5" s="6"/>
      <c r="E5" s="7"/>
      <c r="F5" s="7"/>
    </row>
    <row r="6" spans="1:6">
      <c r="A6" s="11" t="s">
        <v>396</v>
      </c>
      <c r="B6" s="5">
        <v>42</v>
      </c>
      <c r="C6" s="6"/>
      <c r="D6" s="6"/>
      <c r="E6" s="7"/>
      <c r="F6" s="7"/>
    </row>
    <row r="7" spans="1:6">
      <c r="A7" s="11" t="s">
        <v>426</v>
      </c>
      <c r="B7" s="5">
        <v>0</v>
      </c>
      <c r="C7" s="6"/>
      <c r="D7" s="6"/>
      <c r="E7" s="7"/>
      <c r="F7" s="7"/>
    </row>
    <row r="8" spans="1:6">
      <c r="A8" s="11" t="s">
        <v>605</v>
      </c>
      <c r="B8" s="5">
        <v>0</v>
      </c>
      <c r="C8" s="6"/>
      <c r="D8" s="6"/>
      <c r="E8" s="7"/>
      <c r="F8" s="7"/>
    </row>
    <row r="9" spans="1:6">
      <c r="A9" s="11" t="s">
        <v>606</v>
      </c>
      <c r="B9" s="5">
        <v>0</v>
      </c>
      <c r="C9" s="6"/>
      <c r="D9" s="6"/>
      <c r="E9" s="7"/>
      <c r="F9" s="7"/>
    </row>
    <row r="10" spans="1:6">
      <c r="A10" s="12"/>
      <c r="B10" s="6"/>
      <c r="C10" s="6"/>
      <c r="D10" s="6"/>
      <c r="E10" s="7"/>
      <c r="F10" s="7"/>
    </row>
    <row r="11" spans="1:6">
      <c r="A11" s="13" t="s">
        <v>386</v>
      </c>
      <c r="B11" s="13" t="s">
        <v>607</v>
      </c>
      <c r="C11" s="13" t="s">
        <v>608</v>
      </c>
      <c r="D11" s="13" t="s">
        <v>609</v>
      </c>
      <c r="E11" s="14" t="s">
        <v>610</v>
      </c>
      <c r="F11" s="15" t="s">
        <v>611</v>
      </c>
    </row>
    <row r="12" spans="1:6">
      <c r="A12" s="16"/>
      <c r="B12" s="16"/>
      <c r="C12" s="16"/>
      <c r="D12" s="16"/>
      <c r="E12" s="13" t="s">
        <v>603</v>
      </c>
      <c r="F12" s="17"/>
    </row>
    <row r="13" spans="1:6">
      <c r="A13" s="18" t="s">
        <v>612</v>
      </c>
      <c r="B13" s="19"/>
      <c r="C13" s="19"/>
      <c r="D13" s="19"/>
      <c r="E13" s="19"/>
      <c r="F13" s="19"/>
    </row>
    <row r="14" ht="105.75" customHeight="1" spans="1:6">
      <c r="A14" s="20" t="s">
        <v>613</v>
      </c>
      <c r="B14" s="20" t="s">
        <v>614</v>
      </c>
      <c r="C14" s="21" t="s">
        <v>615</v>
      </c>
      <c r="D14" s="22" t="s">
        <v>616</v>
      </c>
      <c r="E14" s="20" t="s">
        <v>396</v>
      </c>
      <c r="F14" s="20"/>
    </row>
    <row r="15" ht="30" spans="1:6">
      <c r="A15" s="20" t="s">
        <v>617</v>
      </c>
      <c r="B15" s="20" t="s">
        <v>618</v>
      </c>
      <c r="C15" s="20" t="s">
        <v>619</v>
      </c>
      <c r="D15" s="20" t="s">
        <v>620</v>
      </c>
      <c r="E15" s="20" t="s">
        <v>396</v>
      </c>
      <c r="F15" s="20"/>
    </row>
    <row r="16" ht="30" spans="1:6">
      <c r="A16" s="21" t="s">
        <v>621</v>
      </c>
      <c r="B16" s="20" t="s">
        <v>622</v>
      </c>
      <c r="C16" s="20" t="s">
        <v>623</v>
      </c>
      <c r="D16" s="20" t="s">
        <v>624</v>
      </c>
      <c r="E16" s="20" t="s">
        <v>396</v>
      </c>
      <c r="F16" s="20"/>
    </row>
    <row r="17" ht="45" spans="1:6">
      <c r="A17" s="21" t="s">
        <v>625</v>
      </c>
      <c r="B17" s="20" t="s">
        <v>626</v>
      </c>
      <c r="C17" s="20" t="s">
        <v>627</v>
      </c>
      <c r="D17" s="20" t="s">
        <v>628</v>
      </c>
      <c r="E17" s="20" t="s">
        <v>396</v>
      </c>
      <c r="F17" s="20"/>
    </row>
    <row r="18" ht="30" spans="1:6">
      <c r="A18" s="18" t="s">
        <v>629</v>
      </c>
      <c r="B18" s="19"/>
      <c r="C18" s="19"/>
      <c r="D18" s="19"/>
      <c r="E18" s="19"/>
      <c r="F18" s="19"/>
    </row>
    <row r="19" hidden="1" spans="1:6">
      <c r="A19" s="23" t="s">
        <v>630</v>
      </c>
      <c r="B19" s="24"/>
      <c r="C19" s="24"/>
      <c r="D19" s="24"/>
      <c r="E19" s="24"/>
      <c r="F19" s="24"/>
    </row>
    <row r="20" ht="90" hidden="1" spans="1:6">
      <c r="A20" s="20" t="s">
        <v>631</v>
      </c>
      <c r="B20" s="20" t="s">
        <v>632</v>
      </c>
      <c r="C20" s="21" t="s">
        <v>633</v>
      </c>
      <c r="D20" s="20" t="s">
        <v>634</v>
      </c>
      <c r="E20" s="20" t="s">
        <v>396</v>
      </c>
      <c r="F20" s="20"/>
    </row>
    <row r="21" ht="90" hidden="1" spans="1:6">
      <c r="A21" s="20" t="s">
        <v>635</v>
      </c>
      <c r="B21" s="20" t="s">
        <v>636</v>
      </c>
      <c r="C21" s="20" t="s">
        <v>637</v>
      </c>
      <c r="D21" s="20" t="s">
        <v>638</v>
      </c>
      <c r="E21" s="20" t="s">
        <v>396</v>
      </c>
      <c r="F21" s="20"/>
    </row>
    <row r="22" ht="105" hidden="1" spans="1:6">
      <c r="A22" s="20" t="s">
        <v>639</v>
      </c>
      <c r="B22" s="20" t="s">
        <v>640</v>
      </c>
      <c r="C22" s="20" t="s">
        <v>641</v>
      </c>
      <c r="D22" s="20" t="s">
        <v>642</v>
      </c>
      <c r="E22" s="20" t="s">
        <v>396</v>
      </c>
      <c r="F22" s="20"/>
    </row>
    <row r="23" ht="105" hidden="1" spans="1:6">
      <c r="A23" s="20" t="s">
        <v>643</v>
      </c>
      <c r="B23" s="25"/>
      <c r="C23" s="21" t="s">
        <v>644</v>
      </c>
      <c r="D23" s="20" t="s">
        <v>645</v>
      </c>
      <c r="E23" s="20" t="s">
        <v>396</v>
      </c>
      <c r="F23" s="20"/>
    </row>
    <row r="24" ht="120" hidden="1" spans="1:6">
      <c r="A24" s="20" t="s">
        <v>646</v>
      </c>
      <c r="B24" s="20" t="s">
        <v>647</v>
      </c>
      <c r="C24" s="20" t="s">
        <v>648</v>
      </c>
      <c r="D24" s="20" t="s">
        <v>649</v>
      </c>
      <c r="E24" s="20" t="s">
        <v>396</v>
      </c>
      <c r="F24" s="20"/>
    </row>
    <row r="25" ht="90" hidden="1" spans="1:6">
      <c r="A25" s="20" t="s">
        <v>650</v>
      </c>
      <c r="B25" s="20" t="s">
        <v>651</v>
      </c>
      <c r="C25" s="20" t="s">
        <v>652</v>
      </c>
      <c r="D25" s="20" t="s">
        <v>653</v>
      </c>
      <c r="E25" s="20" t="s">
        <v>396</v>
      </c>
      <c r="F25" s="20"/>
    </row>
    <row r="26" ht="120" hidden="1" spans="1:6">
      <c r="A26" s="20" t="s">
        <v>654</v>
      </c>
      <c r="B26" s="20" t="s">
        <v>655</v>
      </c>
      <c r="C26" s="21" t="s">
        <v>656</v>
      </c>
      <c r="D26" s="20" t="s">
        <v>657</v>
      </c>
      <c r="E26" s="20" t="s">
        <v>396</v>
      </c>
      <c r="F26" s="20"/>
    </row>
    <row r="27" spans="1:6">
      <c r="A27" s="23" t="s">
        <v>658</v>
      </c>
      <c r="B27" s="24"/>
      <c r="C27" s="24"/>
      <c r="D27" s="24"/>
      <c r="E27" s="24"/>
      <c r="F27" s="24"/>
    </row>
    <row r="28" ht="90" spans="1:6">
      <c r="A28" s="21" t="s">
        <v>631</v>
      </c>
      <c r="B28" s="20" t="s">
        <v>632</v>
      </c>
      <c r="C28" s="20" t="s">
        <v>659</v>
      </c>
      <c r="D28" s="20" t="s">
        <v>660</v>
      </c>
      <c r="E28" s="20" t="s">
        <v>396</v>
      </c>
      <c r="F28" s="20"/>
    </row>
    <row r="29" ht="105" spans="1:6">
      <c r="A29" s="21" t="s">
        <v>635</v>
      </c>
      <c r="B29" s="21" t="s">
        <v>661</v>
      </c>
      <c r="C29" s="20" t="s">
        <v>662</v>
      </c>
      <c r="D29" s="20" t="s">
        <v>663</v>
      </c>
      <c r="E29" s="20" t="s">
        <v>396</v>
      </c>
      <c r="F29" s="20"/>
    </row>
    <row r="30" ht="105" spans="1:6">
      <c r="A30" s="21" t="s">
        <v>639</v>
      </c>
      <c r="B30" s="25"/>
      <c r="C30" s="20" t="s">
        <v>664</v>
      </c>
      <c r="D30" s="20" t="s">
        <v>665</v>
      </c>
      <c r="E30" s="20" t="s">
        <v>396</v>
      </c>
      <c r="F30" s="20"/>
    </row>
    <row r="31" ht="120" spans="1:6">
      <c r="A31" s="21" t="s">
        <v>643</v>
      </c>
      <c r="B31" s="26" t="s">
        <v>666</v>
      </c>
      <c r="C31" s="20" t="s">
        <v>667</v>
      </c>
      <c r="D31" s="26" t="s">
        <v>668</v>
      </c>
      <c r="E31" s="26" t="s">
        <v>396</v>
      </c>
      <c r="F31" s="26"/>
    </row>
    <row r="32" ht="105" spans="1:6">
      <c r="A32" s="21" t="s">
        <v>646</v>
      </c>
      <c r="B32" s="27"/>
      <c r="C32" s="20" t="s">
        <v>669</v>
      </c>
      <c r="D32" s="27"/>
      <c r="E32" s="27"/>
      <c r="F32" s="27"/>
    </row>
    <row r="33" ht="120" spans="1:6">
      <c r="A33" s="21" t="s">
        <v>650</v>
      </c>
      <c r="B33" s="28"/>
      <c r="C33" s="20" t="s">
        <v>670</v>
      </c>
      <c r="D33" s="27"/>
      <c r="E33" s="28"/>
      <c r="F33" s="28"/>
    </row>
    <row r="34" ht="120" spans="1:6">
      <c r="A34" s="21" t="s">
        <v>654</v>
      </c>
      <c r="B34" s="25" t="s">
        <v>671</v>
      </c>
      <c r="C34" s="20" t="s">
        <v>672</v>
      </c>
      <c r="D34" s="20" t="s">
        <v>673</v>
      </c>
      <c r="E34" s="20" t="s">
        <v>396</v>
      </c>
      <c r="F34" s="20"/>
    </row>
    <row r="35" ht="90" spans="1:6">
      <c r="A35" s="21" t="s">
        <v>674</v>
      </c>
      <c r="B35" s="20" t="s">
        <v>675</v>
      </c>
      <c r="C35" s="21" t="s">
        <v>676</v>
      </c>
      <c r="D35" s="20" t="s">
        <v>677</v>
      </c>
      <c r="E35" s="20" t="s">
        <v>396</v>
      </c>
      <c r="F35" s="20"/>
    </row>
    <row r="36" ht="90" spans="1:6">
      <c r="A36" s="21" t="s">
        <v>678</v>
      </c>
      <c r="B36" s="29" t="s">
        <v>679</v>
      </c>
      <c r="C36" s="21" t="s">
        <v>680</v>
      </c>
      <c r="D36" s="20" t="s">
        <v>681</v>
      </c>
      <c r="E36" s="20" t="s">
        <v>396</v>
      </c>
      <c r="F36" s="20"/>
    </row>
    <row r="37" ht="120" spans="1:6">
      <c r="A37" s="21" t="s">
        <v>682</v>
      </c>
      <c r="B37" s="21" t="s">
        <v>683</v>
      </c>
      <c r="C37" s="21" t="s">
        <v>684</v>
      </c>
      <c r="D37" s="20" t="s">
        <v>685</v>
      </c>
      <c r="E37" s="20" t="s">
        <v>396</v>
      </c>
      <c r="F37" s="20"/>
    </row>
    <row r="38" spans="1:6">
      <c r="A38" s="23" t="s">
        <v>686</v>
      </c>
      <c r="B38" s="24"/>
      <c r="C38" s="24"/>
      <c r="D38" s="24"/>
      <c r="E38" s="24"/>
      <c r="F38" s="24"/>
    </row>
    <row r="39" ht="90" spans="1:6">
      <c r="A39" s="21" t="s">
        <v>687</v>
      </c>
      <c r="B39" s="20" t="s">
        <v>688</v>
      </c>
      <c r="C39" s="20" t="s">
        <v>689</v>
      </c>
      <c r="D39" s="20" t="s">
        <v>690</v>
      </c>
      <c r="E39" s="20" t="s">
        <v>396</v>
      </c>
      <c r="F39" s="20"/>
    </row>
    <row r="40" ht="30" spans="1:6">
      <c r="A40" s="21" t="s">
        <v>691</v>
      </c>
      <c r="B40" s="20" t="s">
        <v>692</v>
      </c>
      <c r="C40" s="20" t="s">
        <v>693</v>
      </c>
      <c r="D40" s="20" t="s">
        <v>694</v>
      </c>
      <c r="E40" s="20" t="s">
        <v>396</v>
      </c>
      <c r="F40" s="20"/>
    </row>
    <row r="41" ht="90" spans="1:6">
      <c r="A41" s="21" t="s">
        <v>695</v>
      </c>
      <c r="B41" s="20" t="s">
        <v>696</v>
      </c>
      <c r="C41" s="20" t="s">
        <v>697</v>
      </c>
      <c r="D41" s="20" t="s">
        <v>698</v>
      </c>
      <c r="E41" s="20" t="s">
        <v>396</v>
      </c>
      <c r="F41" s="20"/>
    </row>
    <row r="42" ht="90" spans="1:6">
      <c r="A42" s="21" t="s">
        <v>699</v>
      </c>
      <c r="B42" s="25"/>
      <c r="C42" s="20" t="s">
        <v>700</v>
      </c>
      <c r="D42" s="20" t="s">
        <v>665</v>
      </c>
      <c r="E42" s="20" t="s">
        <v>396</v>
      </c>
      <c r="F42" s="20"/>
    </row>
    <row r="43" ht="90" spans="1:6">
      <c r="A43" s="21" t="s">
        <v>701</v>
      </c>
      <c r="B43" s="20" t="s">
        <v>702</v>
      </c>
      <c r="C43" s="20" t="s">
        <v>703</v>
      </c>
      <c r="D43" s="20" t="s">
        <v>665</v>
      </c>
      <c r="E43" s="20" t="s">
        <v>396</v>
      </c>
      <c r="F43" s="20"/>
    </row>
    <row r="44" ht="90" spans="1:6">
      <c r="A44" s="21" t="s">
        <v>704</v>
      </c>
      <c r="B44" s="25"/>
      <c r="C44" s="20" t="s">
        <v>705</v>
      </c>
      <c r="D44" s="20" t="s">
        <v>665</v>
      </c>
      <c r="E44" s="20" t="s">
        <v>396</v>
      </c>
      <c r="F44" s="20"/>
    </row>
    <row r="45" ht="105" spans="1:6">
      <c r="A45" s="21" t="s">
        <v>706</v>
      </c>
      <c r="B45" s="20" t="s">
        <v>707</v>
      </c>
      <c r="C45" s="20" t="s">
        <v>708</v>
      </c>
      <c r="D45" s="20" t="s">
        <v>665</v>
      </c>
      <c r="E45" s="20" t="s">
        <v>396</v>
      </c>
      <c r="F45" s="20"/>
    </row>
    <row r="46" ht="90" spans="1:6">
      <c r="A46" s="21" t="s">
        <v>709</v>
      </c>
      <c r="B46" s="30" t="s">
        <v>710</v>
      </c>
      <c r="C46" s="20" t="s">
        <v>711</v>
      </c>
      <c r="D46" s="20" t="s">
        <v>712</v>
      </c>
      <c r="E46" s="20" t="s">
        <v>396</v>
      </c>
      <c r="F46" s="20"/>
    </row>
    <row r="47" spans="1:6">
      <c r="A47" s="31" t="s">
        <v>713</v>
      </c>
      <c r="B47" s="32"/>
      <c r="C47" s="24"/>
      <c r="D47" s="24"/>
      <c r="E47" s="24"/>
      <c r="F47" s="24"/>
    </row>
    <row r="48" ht="90" spans="1:6">
      <c r="A48" s="21" t="s">
        <v>714</v>
      </c>
      <c r="B48" s="20" t="s">
        <v>715</v>
      </c>
      <c r="C48" s="20" t="s">
        <v>716</v>
      </c>
      <c r="D48" s="20" t="s">
        <v>717</v>
      </c>
      <c r="E48" s="20" t="s">
        <v>396</v>
      </c>
      <c r="F48" s="20"/>
    </row>
    <row r="49" ht="30" spans="1:6">
      <c r="A49" s="21" t="s">
        <v>718</v>
      </c>
      <c r="B49" s="20" t="s">
        <v>719</v>
      </c>
      <c r="C49" s="20" t="s">
        <v>720</v>
      </c>
      <c r="D49" s="20" t="s">
        <v>721</v>
      </c>
      <c r="E49" s="20" t="s">
        <v>396</v>
      </c>
      <c r="F49" s="20"/>
    </row>
    <row r="50" ht="135" spans="1:6">
      <c r="A50" s="21" t="s">
        <v>722</v>
      </c>
      <c r="B50" s="20" t="s">
        <v>723</v>
      </c>
      <c r="C50" s="20" t="s">
        <v>724</v>
      </c>
      <c r="D50" s="20" t="s">
        <v>725</v>
      </c>
      <c r="E50" s="20" t="s">
        <v>396</v>
      </c>
      <c r="F50" s="20"/>
    </row>
    <row r="51" ht="135" spans="1:6">
      <c r="A51" s="21" t="s">
        <v>726</v>
      </c>
      <c r="B51" s="20" t="s">
        <v>727</v>
      </c>
      <c r="C51" s="20" t="s">
        <v>728</v>
      </c>
      <c r="D51" s="20" t="s">
        <v>729</v>
      </c>
      <c r="E51" s="20" t="s">
        <v>396</v>
      </c>
      <c r="F51" s="20"/>
    </row>
    <row r="52" spans="1:6">
      <c r="A52" s="18" t="s">
        <v>730</v>
      </c>
      <c r="B52" s="19"/>
      <c r="C52" s="19"/>
      <c r="D52" s="19"/>
      <c r="E52" s="19"/>
      <c r="F52" s="19"/>
    </row>
    <row r="53" ht="30" spans="1:6">
      <c r="A53" s="20" t="s">
        <v>731</v>
      </c>
      <c r="B53" s="20" t="s">
        <v>732</v>
      </c>
      <c r="C53" s="21" t="s">
        <v>733</v>
      </c>
      <c r="D53" s="21" t="s">
        <v>665</v>
      </c>
      <c r="E53" s="20" t="s">
        <v>396</v>
      </c>
      <c r="F53" s="20"/>
    </row>
    <row r="54" ht="30" spans="1:6">
      <c r="A54" s="20" t="s">
        <v>734</v>
      </c>
      <c r="B54" s="20" t="s">
        <v>735</v>
      </c>
      <c r="C54" s="20" t="s">
        <v>736</v>
      </c>
      <c r="D54" s="20" t="s">
        <v>737</v>
      </c>
      <c r="E54" s="20" t="s">
        <v>396</v>
      </c>
      <c r="F54" s="20"/>
    </row>
    <row r="55" ht="45" spans="1:6">
      <c r="A55" s="20" t="s">
        <v>738</v>
      </c>
      <c r="B55" s="20" t="s">
        <v>739</v>
      </c>
      <c r="C55" s="20" t="s">
        <v>740</v>
      </c>
      <c r="D55" s="20" t="s">
        <v>741</v>
      </c>
      <c r="E55" s="20" t="s">
        <v>396</v>
      </c>
      <c r="F55" s="20"/>
    </row>
    <row r="56" spans="1:6">
      <c r="A56" s="18" t="s">
        <v>742</v>
      </c>
      <c r="B56" s="19"/>
      <c r="C56" s="19"/>
      <c r="D56" s="19"/>
      <c r="E56" s="19"/>
      <c r="F56" s="19"/>
    </row>
    <row r="57" ht="123.75" customHeight="1" spans="1:6">
      <c r="A57" s="20" t="s">
        <v>743</v>
      </c>
      <c r="B57" s="20" t="s">
        <v>744</v>
      </c>
      <c r="C57" s="21" t="s">
        <v>745</v>
      </c>
      <c r="D57" s="22" t="s">
        <v>746</v>
      </c>
      <c r="E57" s="20" t="s">
        <v>396</v>
      </c>
      <c r="F57" s="20"/>
    </row>
    <row r="58" ht="60" spans="1:6">
      <c r="A58" s="20" t="s">
        <v>747</v>
      </c>
      <c r="B58" s="20" t="s">
        <v>748</v>
      </c>
      <c r="C58" s="20" t="s">
        <v>749</v>
      </c>
      <c r="D58" s="20" t="s">
        <v>750</v>
      </c>
      <c r="E58" s="20" t="s">
        <v>396</v>
      </c>
      <c r="F58" s="20"/>
    </row>
    <row r="59" ht="30" spans="1:6">
      <c r="A59" s="21" t="s">
        <v>751</v>
      </c>
      <c r="B59" s="20" t="s">
        <v>622</v>
      </c>
      <c r="C59" s="20" t="s">
        <v>752</v>
      </c>
      <c r="D59" s="20" t="s">
        <v>753</v>
      </c>
      <c r="E59" s="20" t="s">
        <v>396</v>
      </c>
      <c r="F59" s="20"/>
    </row>
    <row r="60" ht="30" spans="1:6">
      <c r="A60" s="21" t="s">
        <v>754</v>
      </c>
      <c r="B60" s="20" t="s">
        <v>626</v>
      </c>
      <c r="C60" s="20" t="s">
        <v>755</v>
      </c>
      <c r="D60" s="20" t="s">
        <v>756</v>
      </c>
      <c r="E60" s="20" t="s">
        <v>396</v>
      </c>
      <c r="F60" s="20"/>
    </row>
    <row r="61" ht="30" spans="1:6">
      <c r="A61" s="18" t="s">
        <v>757</v>
      </c>
      <c r="B61" s="19"/>
      <c r="C61" s="19"/>
      <c r="D61" s="19"/>
      <c r="E61" s="19"/>
      <c r="F61" s="19"/>
    </row>
    <row r="62" spans="1:6">
      <c r="A62" s="23" t="s">
        <v>658</v>
      </c>
      <c r="B62" s="24"/>
      <c r="C62" s="24"/>
      <c r="D62" s="24"/>
      <c r="E62" s="24"/>
      <c r="F62" s="24"/>
    </row>
    <row r="63" ht="90" spans="1:6">
      <c r="A63" s="20" t="s">
        <v>758</v>
      </c>
      <c r="B63" s="20" t="s">
        <v>632</v>
      </c>
      <c r="C63" s="21" t="s">
        <v>759</v>
      </c>
      <c r="D63" s="20" t="s">
        <v>660</v>
      </c>
      <c r="E63" s="20" t="s">
        <v>396</v>
      </c>
      <c r="F63" s="20"/>
    </row>
    <row r="64" ht="45" spans="1:6">
      <c r="A64" s="20" t="s">
        <v>760</v>
      </c>
      <c r="B64" s="20" t="s">
        <v>761</v>
      </c>
      <c r="C64" s="20" t="s">
        <v>762</v>
      </c>
      <c r="D64" s="20" t="s">
        <v>763</v>
      </c>
      <c r="E64" s="20" t="s">
        <v>396</v>
      </c>
      <c r="F64" s="20"/>
    </row>
    <row r="65" ht="45" spans="1:6">
      <c r="A65" s="20" t="s">
        <v>764</v>
      </c>
      <c r="B65" s="20" t="s">
        <v>765</v>
      </c>
      <c r="C65" s="20" t="s">
        <v>766</v>
      </c>
      <c r="D65" s="20" t="s">
        <v>767</v>
      </c>
      <c r="E65" s="20" t="s">
        <v>396</v>
      </c>
      <c r="F65" s="20"/>
    </row>
    <row r="66" ht="45" spans="1:6">
      <c r="A66" s="20" t="s">
        <v>768</v>
      </c>
      <c r="B66" s="20" t="s">
        <v>769</v>
      </c>
      <c r="C66" s="21" t="s">
        <v>770</v>
      </c>
      <c r="D66" s="20" t="s">
        <v>771</v>
      </c>
      <c r="E66" s="20" t="s">
        <v>396</v>
      </c>
      <c r="F66" s="20"/>
    </row>
    <row r="67" spans="1:6">
      <c r="A67" s="23" t="s">
        <v>772</v>
      </c>
      <c r="B67" s="24"/>
      <c r="C67" s="24"/>
      <c r="D67" s="24"/>
      <c r="E67" s="24"/>
      <c r="F67" s="24"/>
    </row>
    <row r="68" ht="75" spans="1:6">
      <c r="A68" s="20" t="s">
        <v>773</v>
      </c>
      <c r="B68" s="20" t="s">
        <v>688</v>
      </c>
      <c r="C68" s="20" t="s">
        <v>774</v>
      </c>
      <c r="D68" s="20" t="s">
        <v>775</v>
      </c>
      <c r="E68" s="20" t="s">
        <v>396</v>
      </c>
      <c r="F68" s="20"/>
    </row>
    <row r="69" ht="30" spans="1:6">
      <c r="A69" s="20" t="s">
        <v>776</v>
      </c>
      <c r="B69" s="21" t="s">
        <v>777</v>
      </c>
      <c r="C69" s="20" t="s">
        <v>778</v>
      </c>
      <c r="D69" s="20" t="s">
        <v>779</v>
      </c>
      <c r="E69" s="20" t="s">
        <v>396</v>
      </c>
      <c r="F69" s="20"/>
    </row>
    <row r="70" ht="45" spans="1:6">
      <c r="A70" s="20" t="s">
        <v>780</v>
      </c>
      <c r="B70" s="25" t="s">
        <v>781</v>
      </c>
      <c r="C70" s="20" t="s">
        <v>782</v>
      </c>
      <c r="D70" s="20" t="s">
        <v>763</v>
      </c>
      <c r="E70" s="20" t="s">
        <v>396</v>
      </c>
      <c r="F70" s="20"/>
    </row>
    <row r="71" spans="1:6">
      <c r="A71" s="18" t="s">
        <v>783</v>
      </c>
      <c r="B71" s="19"/>
      <c r="C71" s="19"/>
      <c r="D71" s="19"/>
      <c r="E71" s="19"/>
      <c r="F71" s="19"/>
    </row>
    <row r="72" ht="30" spans="1:6">
      <c r="A72" s="20" t="s">
        <v>784</v>
      </c>
      <c r="B72" s="20" t="s">
        <v>785</v>
      </c>
      <c r="C72" s="21" t="s">
        <v>786</v>
      </c>
      <c r="D72" s="21" t="s">
        <v>665</v>
      </c>
      <c r="E72" s="20" t="s">
        <v>396</v>
      </c>
      <c r="F72" s="20"/>
    </row>
    <row r="73" ht="30" spans="1:6">
      <c r="A73" s="20" t="s">
        <v>787</v>
      </c>
      <c r="B73" s="20" t="s">
        <v>788</v>
      </c>
      <c r="C73" s="20" t="s">
        <v>789</v>
      </c>
      <c r="D73" s="20" t="s">
        <v>737</v>
      </c>
      <c r="E73" s="20" t="s">
        <v>396</v>
      </c>
      <c r="F73" s="20"/>
    </row>
    <row r="74" ht="45" spans="1:6">
      <c r="A74" s="20" t="s">
        <v>790</v>
      </c>
      <c r="B74" s="20" t="s">
        <v>739</v>
      </c>
      <c r="C74" s="20" t="s">
        <v>791</v>
      </c>
      <c r="D74" s="20" t="s">
        <v>792</v>
      </c>
      <c r="E74" s="20" t="s">
        <v>396</v>
      </c>
      <c r="F74" s="20"/>
    </row>
  </sheetData>
  <mergeCells count="14">
    <mergeCell ref="A47:B47"/>
    <mergeCell ref="A11:A12"/>
    <mergeCell ref="B11:B12"/>
    <mergeCell ref="B22:B23"/>
    <mergeCell ref="B29:B30"/>
    <mergeCell ref="B31:B33"/>
    <mergeCell ref="B41:B42"/>
    <mergeCell ref="B43:B44"/>
    <mergeCell ref="C11:C12"/>
    <mergeCell ref="D11:D12"/>
    <mergeCell ref="D31:D33"/>
    <mergeCell ref="E31:E33"/>
    <mergeCell ref="F11:F12"/>
    <mergeCell ref="F31:F33"/>
  </mergeCells>
  <dataValidations count="1">
    <dataValidation type="list" allowBlank="1" showInputMessage="1" showErrorMessage="1" sqref="E14:E17 E20:E31 E34:E37 E39:E46 E48:E51 E53:E55 E57:E60 E63:E70 E72:E74">
      <formula1>"Passed,Failed,N/A,Pending"</formula1>
    </dataValidation>
  </dataValidation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SQA Report_Nhóm 8</vt:lpstr>
      <vt:lpstr>Review</vt:lpstr>
      <vt:lpstr>Dương Tất Trường</vt:lpstr>
      <vt:lpstr>Phạm Anh Tú</vt:lpstr>
      <vt:lpstr>Phạm Tuấn Minh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Trường Dương Tất</cp:lastModifiedBy>
  <dcterms:created xsi:type="dcterms:W3CDTF">2026-04-09T15:12:00Z</dcterms:created>
  <dcterms:modified xsi:type="dcterms:W3CDTF">2026-04-20T10:01:56Z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1033-12.1.0.25242</vt:lpwstr>
  </property>
  <property fmtid="{D5CDD505-2E9C-101B-9397-08002B2CF9AE}" pid="3" name="CalculationRule">
    <vt:i4>0</vt:i4>
  </property>
  <property fmtid="{D5CDD505-2E9C-101B-9397-08002B2CF9AE}" pid="4" name="ICV">
    <vt:lpwstr>18A50DE709184EFAA736E6A2370BBD1E_13</vt:lpwstr>
  </property>
</Properties>
</file>