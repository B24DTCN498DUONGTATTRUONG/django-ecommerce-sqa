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activeTab="1"/>
  </bookViews>
  <sheets>
    <sheet name="SQA Report_Nhóm 8" sheetId="1" r:id="rId1"/>
    <sheet name="Dương Tất Trường"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<sst xmlns="http://schemas.openxmlformats.org/spreadsheetml/2006/main" count="373" uniqueCount="257">
  <si>
    <t>BÁO CÁO BÀI TẬP DỰ ÁN NHÓM MÔN ĐẢM BẢO CHẤT LƯỢNG PHẦN MỀM</t>
  </si>
  <si>
    <t>I.</t>
  </si>
  <si>
    <t>Giới thiệu hệ thống</t>
  </si>
  <si>
    <t>**Giới thiệu hệ thống Django Ecommerce**
- Hệ thống *Django Ecommerce* là một ứng dụng web thương mại điện tử được phát triển sử dụng framework Django (Python), nhằm mô phỏng đầy đủ quy trình mua bán trực tuyến từ phía người dùng đến quản trị viên. Hệ thống cho phép người dùng duyệt sản phẩm, thêm vào giỏ hàng, thực hiện thanh toán và quản lý đơn hàng một cách thuận tiện.
- Về phía quản trị, hệ thống cung cấp giao diện quản lý (Django Admin) giúp quản lý sản phẩm, danh mục, người dùng và đơn hàng. Ngoài ra, hệ thống còn tích hợp các chức năng nâng cao như xác thực người dùng, xử lý thanh toán (Stripe), và quản lý hồ sơ người dùng.
- Trong quá trình kiểm thử, nhóm tập trung đánh giá các chức năng chính như:
* Đăng ký và đăng nhập người dùng
* Hiển thị và quản lý sản phẩm
* Thêm/xóa sản phẩm trong giỏ hàng
* Quy trình đặt hàng và thanh toán
* Phân quyền và truy cập hệ thống quản trị
- Mục tiêu của hoạt động kiểm thử là đảm bảo hệ thống hoạt động đúng yêu cầu, ổn định và thân thiện với người dùng, đồng thời phát hiện và báo cáo các lỗi nhằm nâng cao chất lượng phần mềm trước khi triển khai thực tế.</t>
  </si>
  <si>
    <t>- Mã nguồn hệ thống:</t>
  </si>
  <si>
    <t>https://github.com/B24DTCN498DUONGTATTRUONG/django-ecommerce-sqa</t>
  </si>
  <si>
    <t xml:space="preserve">− Frontend: </t>
  </si>
  <si>
    <t>Django Template (HTML, CSS, JS)</t>
  </si>
  <si>
    <t xml:space="preserve">− Backend (Django (Python)): </t>
  </si>
  <si>
    <t>Framework: Django (Ngôn ngữ: Python)</t>
  </si>
  <si>
    <t xml:space="preserve">- Link hệ thống: (chạy local)
</t>
  </si>
  <si>
    <t>http://127.0.0.1:8000</t>
  </si>
  <si>
    <t>II.</t>
  </si>
  <si>
    <t>Công nghệ sử dụng</t>
  </si>
  <si>
    <t>1.</t>
  </si>
  <si>
    <t>Tổng quan</t>
  </si>
  <si>
    <t>Hệ thống được xây dựng theo mô hình Web Application (Client – Server), trong đó sử dụng framework Django để phát triển toàn bộ backend và render frontend.</t>
  </si>
  <si>
    <t>2.</t>
  </si>
  <si>
    <t>Backend</t>
  </si>
  <si>
    <t xml:space="preserve">- Ngôn ngữ lập trình: </t>
  </si>
  <si>
    <t>Python</t>
  </si>
  <si>
    <t>- Framework:</t>
  </si>
  <si>
    <t>Django</t>
  </si>
  <si>
    <t>- Kiến trúc:</t>
  </si>
  <si>
    <t>MVT (Model – View – Template)</t>
  </si>
  <si>
    <t>- Chức năng:</t>
  </si>
  <si>
    <t>Xử lý logic nghiệp vụ (Product, Cart, Order)</t>
  </si>
  <si>
    <t>Xác thực người dùng (Authentication)</t>
  </si>
  <si>
    <t>Kết nối và thao tác với cơ sở dữ liệu</t>
  </si>
  <si>
    <t>Xử lý request/response HTTP</t>
  </si>
  <si>
    <t>3.</t>
  </si>
  <si>
    <t>Frontend</t>
  </si>
  <si>
    <t>- Công nghệ:</t>
  </si>
  <si>
    <t>HTML (Django Template)</t>
  </si>
  <si>
    <t>CSS</t>
  </si>
  <si>
    <t>JavaScript (cơ bản)</t>
  </si>
  <si>
    <t>- Đặc điểm:</t>
  </si>
  <si>
    <t>Sử dụng Django Template Engine để render dữ liệu từ backend</t>
  </si>
  <si>
    <t>Giao diện hiển thị sản phẩm, giỏ hàng, thanh toán</t>
  </si>
  <si>
    <t>Tương tác người dùng (click, form submit)</t>
  </si>
  <si>
    <t>4.</t>
  </si>
  <si>
    <t>Cơ sở dữ liệu (Database)</t>
  </si>
  <si>
    <t>- Hệ quản trị:</t>
  </si>
  <si>
    <t>SQLite (mặc định của Django)</t>
  </si>
  <si>
    <t>Lưu trữ thông tin người dùng</t>
  </si>
  <si>
    <t>Lưu trữ sản phẩm (Product)</t>
  </si>
  <si>
    <t>Lưu trữ giỏ hàng (Cart)</t>
  </si>
  <si>
    <t>Lưu trữ đơn hàng (Order)</t>
  </si>
  <si>
    <t>5.</t>
  </si>
  <si>
    <t>Công cụ hỗ trợ phát triển</t>
  </si>
  <si>
    <t>- Trình quản lý mã nguồn:</t>
  </si>
  <si>
    <t>Git &amp; GitHub</t>
  </si>
  <si>
    <t>- Môi trường phát triển:</t>
  </si>
  <si>
    <t>Visual Studio Code / PyCharm</t>
  </si>
  <si>
    <t>- Trình duyệt test:</t>
  </si>
  <si>
    <t>Google Chrome</t>
  </si>
  <si>
    <t>6.</t>
  </si>
  <si>
    <t>Thư viện và module chính</t>
  </si>
  <si>
    <t>Django ORM:</t>
  </si>
  <si>
    <t xml:space="preserve"> thao tác database</t>
  </si>
  <si>
    <t xml:space="preserve">Django Authentication: </t>
  </si>
  <si>
    <t>đăng nhập/đăng ký</t>
  </si>
  <si>
    <t xml:space="preserve">Django Admin: </t>
  </si>
  <si>
    <t>quản lý dữ liệu hệ thống</t>
  </si>
  <si>
    <t>7.</t>
  </si>
  <si>
    <t>Môi trường chạy hệ thống</t>
  </si>
  <si>
    <t>Chạy local:</t>
  </si>
  <si>
    <t>URL: http://127.0.0.1:8000</t>
  </si>
  <si>
    <t>Server:</t>
  </si>
  <si>
    <t>Django Development Server (runserver)</t>
  </si>
  <si>
    <t>III.</t>
  </si>
  <si>
    <t>Các chức năng chính của hệ thống</t>
  </si>
  <si>
    <t>Quản lý người dùng (User Authentication)</t>
  </si>
  <si>
    <t>Quản lý sản phẩm (Product Management)</t>
  </si>
  <si>
    <t>Giỏ hàng (Cart Management)</t>
  </si>
  <si>
    <t>Đặt hàng (Order/Checkout)</t>
  </si>
  <si>
    <t>Quản lý đơn hàng (Order Management)</t>
  </si>
  <si>
    <t>Trang quản trị (Admin Panel)</t>
  </si>
  <si>
    <t>Tìm kiếm và điều hướng (Search &amp; Navigation)</t>
  </si>
  <si>
    <t>IV.</t>
  </si>
  <si>
    <t>Hiện trạng đảm bảo chất lượng phần mềm</t>
  </si>
  <si>
    <t>Hệ thống đã được thực hiện các hoạt động kiểm thử và xây dựng tài liệu kiểm thử chi tiết cho các chức năng chính, cụ thể như sau:</t>
  </si>
  <si>
    <t>− Đã xây dựng tài liệu đặc tả yêu cầu phần mềm (SRS) và checklist phục vụ cho hoạt động review SRS.</t>
  </si>
  <si>
    <t>−  Đã thiết kế và xây dựng bộ test case chi tiết cho các chức năng chính của hệ thống (Product, Cart, Order, Authentication,…).</t>
  </si>
  <si>
    <t>STT</t>
  </si>
  <si>
    <t>Tên chức năng</t>
  </si>
  <si>
    <t>Mô tả</t>
  </si>
  <si>
    <t>Thành viên thực hiện</t>
  </si>
  <si>
    <t>Authentication + Test Plan (Leader)</t>
  </si>
  <si>
    <t>Phần hệ thống:
Đăng ký 
Đăng nhập 
Đăng xuất</t>
  </si>
  <si>
    <t>Phạm Tuấn Minh - K24DTCN608</t>
  </si>
  <si>
    <t>Product + Cart</t>
  </si>
  <si>
    <t>Phần hệ thống:
Xem sản phẩm 
Thêm vào giỏ hàng 
Cập nhật số lượng</t>
  </si>
  <si>
    <t>Dương Tất Trường - B24DTCN498</t>
  </si>
  <si>
    <t>Order + UI Testing + Report</t>
  </si>
  <si>
    <t>- Phần hệ thống
Checkout 
Đặt hàng
- Testing, Test: 
Checkout flow 
Không login → redirect 
Thanh toán giả lập
- UI Testing, Kiểm tra: 
Form 
Button 
Layout
- Report, Tổng hợp: 
Test result 
Bug report 
Screenshot</t>
  </si>
  <si>
    <t>Phạm Anh Tú - K24DTCN629</t>
  </si>
  <si>
    <t>V.</t>
  </si>
  <si>
    <t xml:space="preserve"> Kết quả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</si>
  <si>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</si>
  <si>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</si>
  <si>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</si>
  <si>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</si>
  <si>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</si>
  <si>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</si>
  <si>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</si>
  <si>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Người thực hiện</t>
  </si>
  <si>
    <t>KỊCH BẢN KIỂM THỬ</t>
  </si>
  <si>
    <t>Tên màn hình/Tên chức năng</t>
  </si>
  <si>
    <t>Laptop</t>
  </si>
  <si>
    <t>Mã trường hợp kiểm thử</t>
  </si>
  <si>
    <t>HC</t>
  </si>
  <si>
    <t>`</t>
  </si>
  <si>
    <t>PHẦN HỆ THỐNG (Product + Cart)</t>
  </si>
  <si>
    <t xml:space="preserve">- Chức năng Product + Cart: Là hệ thống cho phép người dùng xem danh sách sản phẩm, lựa chọn sản phẩm và thêm vào giỏ hàng. Người dùng có thể thay đổi số </t>
  </si>
  <si>
    <t xml:space="preserve"> lượng sản phẩm trong giỏ, xóa sản phẩm hoặc tiếp tục mua sắm. Giỏ hàng sẽ tự động cập nhật tổng tiền tương ứng với số lượng sản phẩm.</t>
  </si>
  <si>
    <t>- Chức năng này đóng vai trò quan trọng trong hệ thống thương mại điện tử, ảnh hưởng trực tiếp đến trải nghiệm người dùng và quy trình thanh toán.</t>
  </si>
  <si>
    <t>ID</t>
  </si>
  <si>
    <t>Chức năng</t>
  </si>
  <si>
    <t>Input</t>
  </si>
  <si>
    <t>Expected</t>
  </si>
  <si>
    <t>Kết quả</t>
  </si>
  <si>
    <t>SYS01</t>
  </si>
  <si>
    <t>Xem sản phẩm</t>
  </si>
  <si>
    <t>Hiển thị danh sách sản phẩm</t>
  </si>
  <si>
    <t>Truy cập trang product</t>
  </si>
  <si>
    <t xml:space="preserve">Hiển thị danh sách đầy đủ </t>
  </si>
  <si>
    <t>Passed</t>
  </si>
  <si>
    <t>SYS02</t>
  </si>
  <si>
    <t>Xem chi tiết sản phẩm</t>
  </si>
  <si>
    <t>Xem thông tin chi tiết</t>
  </si>
  <si>
    <t>Click vào sản phẩm</t>
  </si>
  <si>
    <t>Hiển thị đúng thông tin</t>
  </si>
  <si>
    <t>SYS03</t>
  </si>
  <si>
    <t>Thêm vào giỏ hàng</t>
  </si>
  <si>
    <t>Thêm sản phẩm vào cart</t>
  </si>
  <si>
    <t>Click "Add to cart"</t>
  </si>
  <si>
    <t>Sản phẩm được thêm</t>
  </si>
  <si>
    <t>SYS04</t>
  </si>
  <si>
    <t>Cập nhật số lượng</t>
  </si>
  <si>
    <t>Tăng/giảm số lượng</t>
  </si>
  <si>
    <t>Nhấn +/-</t>
  </si>
  <si>
    <t>Số lượng thay đổi đúng</t>
  </si>
  <si>
    <t>TESTING (TEST CASE)</t>
  </si>
  <si>
    <t>Add to Cart</t>
  </si>
  <si>
    <t>TC01</t>
  </si>
  <si>
    <t>Add to cart</t>
  </si>
  <si>
    <t>Thêm sản phẩm</t>
  </si>
  <si>
    <t>Click add</t>
  </si>
  <si>
    <t>Sản phẩm vào giỏ</t>
  </si>
  <si>
    <t>TC02</t>
  </si>
  <si>
    <t>Thêm nhiều lần</t>
  </si>
  <si>
    <t>Click nhiều lần</t>
  </si>
  <si>
    <t>Tăng số lượng</t>
  </si>
  <si>
    <t>TC03</t>
  </si>
  <si>
    <t>Thêm sản phẩm hết hàng</t>
  </si>
  <si>
    <t>Click add, không có thông báo sản phẩm hết hàng</t>
  </si>
  <si>
    <t>Báo lỗi "Hết hàng"</t>
  </si>
  <si>
    <t>Failed</t>
  </si>
  <si>
    <t>Remove Item</t>
  </si>
  <si>
    <t>TC04</t>
  </si>
  <si>
    <t>Remove item</t>
  </si>
  <si>
    <t>Xoá sản phẩm</t>
  </si>
  <si>
    <t>Click remove</t>
  </si>
  <si>
    <t>Sản phẩm bị xoá</t>
  </si>
  <si>
    <t>TC05</t>
  </si>
  <si>
    <t>Xoá khi giỏ rỗng</t>
  </si>
  <si>
    <t>Không có sản phẩm để remove</t>
  </si>
  <si>
    <t>Update Quantity</t>
  </si>
  <si>
    <t>TC06</t>
  </si>
  <si>
    <t>Update quantity</t>
  </si>
  <si>
    <t>Click +</t>
  </si>
  <si>
    <t>Số lượng tăng</t>
  </si>
  <si>
    <t>TC07</t>
  </si>
  <si>
    <t>Giảm số lượng</t>
  </si>
  <si>
    <t>Click -</t>
  </si>
  <si>
    <t>Số lượng giảm</t>
  </si>
  <si>
    <t>TC08</t>
  </si>
  <si>
    <t>Nhập số âm</t>
  </si>
  <si>
    <t>Không nhập được số âm</t>
  </si>
  <si>
    <t>Báo lỗi</t>
  </si>
  <si>
    <t>TC09</t>
  </si>
  <si>
    <t>Nhập số lớn</t>
  </si>
  <si>
    <t>Tăng số lượng lên tới 1059</t>
  </si>
  <si>
    <t>Số lượng và số tiền tăng đúng</t>
  </si>
  <si>
    <t>REVIEW (RÀ SOÁT LOGIC)</t>
  </si>
  <si>
    <t>Logic thêm giỏ hàng</t>
  </si>
  <si>
    <t>RV01</t>
  </si>
  <si>
    <t>Thêm sản phẩm đã tồn tại</t>
  </si>
  <si>
    <t>Add cùng sản phẩm</t>
  </si>
  <si>
    <t>Tăng quantity (1 lần = +1)</t>
  </si>
  <si>
    <t>RV02</t>
  </si>
  <si>
    <t>Kiểm tra tồn tại</t>
  </si>
  <si>
    <t>Add product</t>
  </si>
  <si>
    <t>Không tạo duplicate</t>
  </si>
  <si>
    <t>Giá tiền</t>
  </si>
  <si>
    <t>RV03</t>
  </si>
  <si>
    <t>Tính giá</t>
  </si>
  <si>
    <t>Tính tổng tiền</t>
  </si>
  <si>
    <t>price * quantity</t>
  </si>
  <si>
    <t>Tổng đúng</t>
  </si>
  <si>
    <t>RV04</t>
  </si>
  <si>
    <t>Update giá</t>
  </si>
  <si>
    <t>Đổi số lượng</t>
  </si>
  <si>
    <t>quantity thay đổi</t>
  </si>
  <si>
    <t>Giá cập nhật</t>
  </si>
  <si>
    <t>Lỗi duplicate</t>
  </si>
  <si>
    <t>RV05</t>
  </si>
  <si>
    <t>Duplicate</t>
  </si>
  <si>
    <t>Click nhanh nhiều lần</t>
  </si>
  <si>
    <t>Spam click</t>
  </si>
  <si>
    <t>Không duplicate https://youtu.be/k3UoRxZp-A0?si=qfOm5AibLAhmN3bs</t>
  </si>
  <si>
    <t>RV06</t>
  </si>
  <si>
    <t>Refresh page</t>
  </si>
  <si>
    <t>Reload</t>
  </si>
  <si>
    <t>Không nhân đôi https://youtu.be/k3UoRxZp-A0?si=qfOm5AibLAhmN3bs</t>
  </si>
  <si>
    <t>BUG HUNTING (TÌM BUG)</t>
  </si>
  <si>
    <t>Environment bug</t>
  </si>
  <si>
    <t>Nguyên nhân</t>
  </si>
  <si>
    <t>Fix</t>
  </si>
  <si>
    <t>Severity</t>
  </si>
  <si>
    <t>BUG01</t>
  </si>
  <si>
    <t>Authentication / Signup</t>
  </si>
  <si>
    <t>User không thể đăng ký tài khoản</t>
  </si>
  <si>
    <t>Login</t>
  </si>
  <si>
    <t>Đăng ký được tài khoản</t>
  </si>
  <si>
    <t>Chưa cấu hình email backend</t>
  </si>
  <si>
    <t xml:space="preserve">Chuyển sang console email backend
</t>
  </si>
  <si>
    <t>Medium</t>
  </si>
  <si>
    <t>BUG02</t>
  </si>
  <si>
    <t>Sign In</t>
  </si>
  <si>
    <t>Không hiện sản phẩm</t>
  </si>
  <si>
    <t>Hiện thị sản phẩm 
và thông tin sản phẩm</t>
  </si>
  <si>
    <t>Chưa Add+ sản phẩm vào Items</t>
  </si>
  <si>
    <t>Add+ sản phẩm vào Items</t>
  </si>
  <si>
    <t>Không cập nhật UI</t>
  </si>
  <si>
    <t>BUG03</t>
  </si>
  <si>
    <t>UI</t>
  </si>
  <si>
    <t>Đăng ký tài khoản mới</t>
  </si>
  <si>
    <t>Nhập thông tin đăng ký</t>
  </si>
  <si>
    <t>Hiển thị mật khẩu dạng ẩn và dạng hiện, thông báo mức độ mạnh của mật khẩu</t>
  </si>
  <si>
    <t>failed</t>
  </si>
  <si>
    <t>Chưa implement chức năng toggle → luôn bị ẩn vì không có logic đổi sang text. 
Chưa xây dựng logic kiểm tra
→ hệ thống không có rule nào đánh giá mật khẩu</t>
  </si>
  <si>
    <t>Không cần Fix vì là kiểm thử hộp đen</t>
  </si>
  <si>
    <t>medium</t>
  </si>
  <si>
    <t>BUG04</t>
  </si>
  <si>
    <t>Add không hiện</t>
  </si>
  <si>
    <t>UI update ngay</t>
  </si>
  <si>
    <t>Không cập nhật state (React/Vue…)</t>
  </si>
  <si>
    <t>Thêm dữ liệu và set lại state</t>
  </si>
  <si>
    <t>BUG05</t>
  </si>
  <si>
    <t>Search</t>
  </si>
  <si>
    <t>tên, thông tin hàng</t>
  </si>
  <si>
    <t>Hiển thị hàng đúng thông tin Seach https://youtu.be/6oGgLfMjQdk</t>
  </si>
  <si>
    <t>Not run</t>
  </si>
  <si>
    <t>Không có chức năng trong hệ thống</t>
  </si>
  <si>
    <t>High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</si>
</sst>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0"/>
      <color theme="1"/>
      <name val="Times New Roman"/>
      <charset val="134"/>
    </font>
    <font>
      <sz val="10"/>
      <color theme="1"/>
      <name val="Times New Roman"/>
      <charset val="134"/>
    </font>
    <font>
      <sz val="11"/>
      <color theme="1"/>
      <name val="SimSun"/>
      <charset val="134"/>
    </font>
    <font>
      <b/>
      <sz val="11"/>
      <color theme="1"/>
      <name val="Times New Roman"/>
      <charset val="134"/>
    </font>
    <font>
      <b/>
      <sz val="11"/>
      <color theme="1"/>
      <name val="Calibri"/>
      <charset val="134"/>
      <scheme val="minor"/>
    </font>
    <font>
      <sz val="12"/>
      <color theme="1"/>
      <name val="SimSun"/>
      <charset val="134"/>
    </font>
    <font>
      <b/>
      <sz val="12"/>
      <color theme="1"/>
      <name val="SimSun"/>
      <charset val="134"/>
    </font>
    <font>
      <u/>
      <sz val="11"/>
      <color rgb="FF800080"/>
      <name val="Calibri"/>
      <charset val="134"/>
      <scheme val="minor"/>
    </font>
    <font>
      <u/>
      <sz val="11"/>
      <color rgb="FF0000FF"/>
      <name val="Calibri"/>
      <charset val="134"/>
      <scheme val="minor"/>
    </font>
    <font>
      <b/>
      <sz val="10"/>
      <color theme="1"/>
      <name val="&quot;Times New Roman&quot;"/>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Calibri"/>
      <charset val="134"/>
      <scheme val="minor"/>
    </font>
  </fonts>
  <fills count="3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lignment vertical="center"/>
    </xf>
    <xf numFmtId="0" fontId="11" fillId="0" borderId="0" applyNumberFormat="0" applyFill="0" applyBorder="0" applyAlignment="0" applyProtection="0">
      <alignment vertical="center"/>
    </xf>
    <xf numFmtId="0" fontId="0" fillId="5"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6" borderId="17" applyNumberFormat="0" applyAlignment="0" applyProtection="0">
      <alignment vertical="center"/>
    </xf>
    <xf numFmtId="0" fontId="19" fillId="7" borderId="18" applyNumberFormat="0" applyAlignment="0" applyProtection="0">
      <alignment vertical="center"/>
    </xf>
    <xf numFmtId="0" fontId="20" fillId="7" borderId="17" applyNumberFormat="0" applyAlignment="0" applyProtection="0">
      <alignment vertical="center"/>
    </xf>
    <xf numFmtId="0" fontId="21" fillId="8"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cellStyleXfs>
  <cellXfs count="58">
    <xf numFmtId="0" fontId="0" fillId="0" borderId="0" xfId="0" applyAlignment="1">
      <alignment vertical="center"/>
    </xf>
    <xf numFmtId="0" fontId="0" fillId="0" borderId="0" xfId="0" applyFont="1" applyAlignment="1">
      <alignment vertical="center"/>
    </xf>
    <xf numFmtId="0" fontId="0" fillId="0" borderId="0" xfId="0" applyAlignment="1"/>
    <xf numFmtId="0" fontId="0" fillId="0" borderId="0" xfId="0" applyAlignment="1">
      <alignment horizontal="center" vertical="center"/>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horizontal="left" vertical="center"/>
    </xf>
    <xf numFmtId="0" fontId="0" fillId="0" borderId="0" xfId="0" applyAlignment="1">
      <alignment horizontal="left" vertical="center"/>
    </xf>
    <xf numFmtId="0" fontId="5" fillId="0" borderId="2" xfId="0" applyFont="1" applyBorder="1" applyAlignment="1">
      <alignment horizontal="center" vertical="center" wrapText="1"/>
    </xf>
    <xf numFmtId="0" fontId="0" fillId="0" borderId="2" xfId="0" applyBorder="1" applyAlignment="1">
      <alignment vertical="center" wrapText="1"/>
    </xf>
    <xf numFmtId="0" fontId="3" fillId="0" borderId="0" xfId="0" applyFont="1" applyAlignment="1">
      <alignment horizontal="left" vertical="center" wrapText="1"/>
    </xf>
    <xf numFmtId="0" fontId="0" fillId="0" borderId="0" xfId="0" applyAlignment="1">
      <alignment vertical="center" wrapText="1"/>
    </xf>
    <xf numFmtId="0" fontId="6" fillId="0" borderId="0" xfId="0" applyFont="1" applyAlignment="1">
      <alignment vertical="center"/>
    </xf>
    <xf numFmtId="0" fontId="7" fillId="0" borderId="0" xfId="0" applyFont="1" applyAlignment="1">
      <alignment horizontal="center" vertical="center" wrapText="1"/>
    </xf>
    <xf numFmtId="0" fontId="6" fillId="0" borderId="0" xfId="0" applyFont="1" applyAlignment="1">
      <alignment horizontal="left" vertical="center" wrapText="1"/>
    </xf>
    <xf numFmtId="0" fontId="5"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0" xfId="0" applyFont="1" applyAlignment="1"/>
    <xf numFmtId="0" fontId="0" fillId="0" borderId="2" xfId="0" applyFont="1" applyBorder="1" applyAlignment="1">
      <alignment horizontal="center" vertical="center" wrapText="1"/>
    </xf>
    <xf numFmtId="0" fontId="0" fillId="0" borderId="2" xfId="0" applyFont="1" applyBorder="1" applyAlignment="1">
      <alignment horizontal="left" vertical="top" wrapText="1"/>
    </xf>
    <xf numFmtId="0" fontId="0" fillId="0" borderId="2" xfId="0" applyFont="1" applyBorder="1" applyAlignment="1">
      <alignment horizontal="center" vertical="center"/>
    </xf>
    <xf numFmtId="0" fontId="0" fillId="0" borderId="0" xfId="0" applyAlignment="1">
      <alignment wrapText="1"/>
    </xf>
    <xf numFmtId="0" fontId="0" fillId="0" borderId="0" xfId="0" applyAlignment="1">
      <alignment horizontal="left" vertical="center" inden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0" fillId="0" borderId="0" xfId="0" applyFont="1" applyAlignment="1">
      <alignment horizontal="left" vertical="top" wrapText="1"/>
    </xf>
    <xf numFmtId="0" fontId="0" fillId="0" borderId="0" xfId="0" applyAlignment="1">
      <alignment vertical="top"/>
    </xf>
    <xf numFmtId="0" fontId="0" fillId="0" borderId="2" xfId="0" applyBorder="1" applyAlignment="1">
      <alignment vertical="top"/>
    </xf>
    <xf numFmtId="0" fontId="8" fillId="0" borderId="2" xfId="6" applyFont="1" applyBorder="1" applyAlignment="1">
      <alignment horizontal="left" vertical="top"/>
    </xf>
    <xf numFmtId="0" fontId="9" fillId="0" borderId="2" xfId="6" applyBorder="1" applyAlignment="1">
      <alignment horizontal="left" vertical="top"/>
    </xf>
    <xf numFmtId="0" fontId="9" fillId="0" borderId="0" xfId="6" applyAlignment="1">
      <alignment horizontal="left" vertical="top"/>
    </xf>
    <xf numFmtId="0" fontId="0" fillId="0" borderId="0" xfId="0" applyAlignment="1">
      <alignment vertical="top" wrapText="1"/>
    </xf>
    <xf numFmtId="0" fontId="0" fillId="0" borderId="2" xfId="0" applyBorder="1" applyAlignment="1">
      <alignment horizontal="left" vertical="top"/>
    </xf>
    <xf numFmtId="0" fontId="0" fillId="0" borderId="3" xfId="0" applyBorder="1" applyAlignment="1"/>
    <xf numFmtId="0" fontId="0" fillId="0" borderId="4" xfId="0" applyBorder="1" applyAlignment="1"/>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center"/>
    </xf>
    <xf numFmtId="0" fontId="0" fillId="0" borderId="5" xfId="0" applyBorder="1" applyAlignment="1">
      <alignment horizontal="left" vertical="center"/>
    </xf>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alignment horizontal="left" vertical="center"/>
    </xf>
    <xf numFmtId="0" fontId="0" fillId="0" borderId="11" xfId="0" applyBorder="1" applyAlignment="1"/>
    <xf numFmtId="0" fontId="0" fillId="0" borderId="12" xfId="0" applyBorder="1" applyAlignment="1"/>
    <xf numFmtId="0" fontId="0" fillId="0" borderId="13" xfId="0" applyBorder="1" applyAlignment="1"/>
    <xf numFmtId="0" fontId="0" fillId="0" borderId="5" xfId="0" applyBorder="1" applyAlignment="1">
      <alignment vertical="center"/>
    </xf>
    <xf numFmtId="0" fontId="0" fillId="0" borderId="4" xfId="0" applyBorder="1" applyAlignment="1">
      <alignment vertical="center"/>
    </xf>
    <xf numFmtId="0" fontId="0" fillId="0" borderId="8" xfId="0" applyBorder="1" applyAlignment="1">
      <alignment vertical="center"/>
    </xf>
    <xf numFmtId="0" fontId="0" fillId="0" borderId="3" xfId="0" applyBorder="1" applyAlignment="1">
      <alignment vertical="center"/>
    </xf>
    <xf numFmtId="0" fontId="5" fillId="4" borderId="2" xfId="49" applyFont="1" applyFill="1" applyBorder="1" applyAlignment="1">
      <alignment horizontal="center" vertical="top" wrapText="1"/>
    </xf>
    <xf numFmtId="0" fontId="5" fillId="4" borderId="2" xfId="49" applyFont="1" applyFill="1" applyBorder="1" applyAlignment="1">
      <alignment horizontal="center" vertical="top"/>
    </xf>
    <xf numFmtId="0" fontId="10" fillId="4" borderId="2" xfId="49" applyFont="1" applyFill="1" applyBorder="1" applyAlignment="1">
      <alignment horizontal="center" vertical="center" wrapText="1"/>
    </xf>
    <xf numFmtId="0" fontId="0" fillId="0" borderId="2" xfId="0" applyBorder="1" applyAlignment="1" quotePrefix="1">
      <alignment vertical="top"/>
    </xf>
    <xf numFmtId="0" fontId="0" fillId="0" borderId="2" xfId="0" applyBorder="1" applyAlignment="1" quotePrefix="1">
      <alignment vertical="center"/>
    </xf>
    <xf numFmtId="0" fontId="0" fillId="0" borderId="2" xfId="0" applyBorder="1" applyAlignment="1" quotePrefix="1">
      <alignment horizontal="left" vertical="center"/>
    </xf>
    <xf numFmtId="0" fontId="0" fillId="0" borderId="5" xfId="0" applyBorder="1" applyAlignment="1" quotePrefix="1">
      <alignment horizontal="left" vertical="center"/>
    </xf>
    <xf numFmtId="0" fontId="0" fillId="0" borderId="2" xfId="0" applyBorder="1" applyAlignment="1" quotePrefix="1">
      <alignment vertical="center" wrapText="1"/>
    </xf>
    <xf numFmtId="0" fontId="0" fillId="0" borderId="0" xfId="0" applyAlignment="1" quotePrefix="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1685925</xdr:colOff>
      <xdr:row>14</xdr:row>
      <xdr:rowOff>22860</xdr:rowOff>
    </xdr:from>
    <xdr:to>
      <xdr:col>6</xdr:col>
      <xdr:colOff>2225040</xdr:colOff>
      <xdr:row>14</xdr:row>
      <xdr:rowOff>306070</xdr:rowOff>
    </xdr:to>
    <xdr:pic>
      <xdr:nvPicPr>
        <xdr:cNvPr id="2" name="Picture 1" descr="Giao diện web"/>
        <xdr:cNvPicPr>
          <a:picLocks noChangeAspect="1"/>
        </xdr:cNvPicPr>
      </xdr:nvPicPr>
      <xdr:blipFill>
        <a:blip r:embed="rId1"/>
        <a:stretch>
          <a:fillRect/>
        </a:stretch>
      </xdr:blipFill>
      <xdr:spPr>
        <a:xfrm>
          <a:off x="7667625" y="2689860"/>
          <a:ext cx="539115" cy="283210"/>
        </a:xfrm>
        <a:prstGeom prst="rect">
          <a:avLst/>
        </a:prstGeom>
      </xdr:spPr>
    </xdr:pic>
    <xdr:clientData/>
  </xdr:twoCellAnchor>
  <xdr:twoCellAnchor editAs="oneCell">
    <xdr:from>
      <xdr:col>6</xdr:col>
      <xdr:colOff>1590675</xdr:colOff>
      <xdr:row>15</xdr:row>
      <xdr:rowOff>151130</xdr:rowOff>
    </xdr:from>
    <xdr:to>
      <xdr:col>6</xdr:col>
      <xdr:colOff>2185035</xdr:colOff>
      <xdr:row>15</xdr:row>
      <xdr:rowOff>466725</xdr:rowOff>
    </xdr:to>
    <xdr:pic>
      <xdr:nvPicPr>
        <xdr:cNvPr id="3" name="Picture 2" descr="chi tiết sản phẩm"/>
        <xdr:cNvPicPr>
          <a:picLocks noChangeAspect="1"/>
        </xdr:cNvPicPr>
      </xdr:nvPicPr>
      <xdr:blipFill>
        <a:blip r:embed="rId2"/>
        <a:stretch>
          <a:fillRect/>
        </a:stretch>
      </xdr:blipFill>
      <xdr:spPr>
        <a:xfrm>
          <a:off x="7572375" y="3199130"/>
          <a:ext cx="594360" cy="315595"/>
        </a:xfrm>
        <a:prstGeom prst="rect">
          <a:avLst/>
        </a:prstGeom>
      </xdr:spPr>
    </xdr:pic>
    <xdr:clientData/>
  </xdr:twoCellAnchor>
  <xdr:twoCellAnchor editAs="oneCell">
    <xdr:from>
      <xdr:col>6</xdr:col>
      <xdr:colOff>1503680</xdr:colOff>
      <xdr:row>16</xdr:row>
      <xdr:rowOff>68580</xdr:rowOff>
    </xdr:from>
    <xdr:to>
      <xdr:col>6</xdr:col>
      <xdr:colOff>2035810</xdr:colOff>
      <xdr:row>16</xdr:row>
      <xdr:rowOff>327660</xdr:rowOff>
    </xdr:to>
    <xdr:pic>
      <xdr:nvPicPr>
        <xdr:cNvPr id="4" name="Picture 3" descr="Thêm sản phẩm vào giỏ hàng"/>
        <xdr:cNvPicPr>
          <a:picLocks noChangeAspect="1"/>
        </xdr:cNvPicPr>
      </xdr:nvPicPr>
      <xdr:blipFill>
        <a:blip r:embed="rId3"/>
        <a:stretch>
          <a:fillRect/>
        </a:stretch>
      </xdr:blipFill>
      <xdr:spPr>
        <a:xfrm>
          <a:off x="7485380" y="3688080"/>
          <a:ext cx="532130" cy="259080"/>
        </a:xfrm>
        <a:prstGeom prst="rect">
          <a:avLst/>
        </a:prstGeom>
      </xdr:spPr>
    </xdr:pic>
    <xdr:clientData/>
  </xdr:twoCellAnchor>
  <xdr:twoCellAnchor editAs="oneCell">
    <xdr:from>
      <xdr:col>6</xdr:col>
      <xdr:colOff>1666240</xdr:colOff>
      <xdr:row>17</xdr:row>
      <xdr:rowOff>85725</xdr:rowOff>
    </xdr:from>
    <xdr:to>
      <xdr:col>6</xdr:col>
      <xdr:colOff>2190750</xdr:colOff>
      <xdr:row>17</xdr:row>
      <xdr:rowOff>342900</xdr:rowOff>
    </xdr:to>
    <xdr:pic>
      <xdr:nvPicPr>
        <xdr:cNvPr id="5" name="Picture 4" descr="Tăng số lượng"/>
        <xdr:cNvPicPr>
          <a:picLocks noChangeAspect="1"/>
        </xdr:cNvPicPr>
      </xdr:nvPicPr>
      <xdr:blipFill>
        <a:blip r:embed="rId4"/>
        <a:stretch>
          <a:fillRect/>
        </a:stretch>
      </xdr:blipFill>
      <xdr:spPr>
        <a:xfrm>
          <a:off x="7647940" y="4086225"/>
          <a:ext cx="524510" cy="257175"/>
        </a:xfrm>
        <a:prstGeom prst="rect">
          <a:avLst/>
        </a:prstGeom>
      </xdr:spPr>
    </xdr:pic>
    <xdr:clientData/>
  </xdr:twoCellAnchor>
  <xdr:twoCellAnchor editAs="oneCell">
    <xdr:from>
      <xdr:col>6</xdr:col>
      <xdr:colOff>1409700</xdr:colOff>
      <xdr:row>28</xdr:row>
      <xdr:rowOff>67310</xdr:rowOff>
    </xdr:from>
    <xdr:to>
      <xdr:col>6</xdr:col>
      <xdr:colOff>1811655</xdr:colOff>
      <xdr:row>28</xdr:row>
      <xdr:rowOff>272415</xdr:rowOff>
    </xdr:to>
    <xdr:pic>
      <xdr:nvPicPr>
        <xdr:cNvPr id="6" name="Picture 5" descr="Add thêm sản phẩm, tăng số lượng"/>
        <xdr:cNvPicPr>
          <a:picLocks noChangeAspect="1"/>
        </xdr:cNvPicPr>
      </xdr:nvPicPr>
      <xdr:blipFill>
        <a:blip r:embed="rId5"/>
        <a:stretch>
          <a:fillRect/>
        </a:stretch>
      </xdr:blipFill>
      <xdr:spPr>
        <a:xfrm>
          <a:off x="7391400" y="6365875"/>
          <a:ext cx="401955" cy="205105"/>
        </a:xfrm>
        <a:prstGeom prst="rect">
          <a:avLst/>
        </a:prstGeom>
      </xdr:spPr>
    </xdr:pic>
    <xdr:clientData/>
  </xdr:twoCellAnchor>
  <xdr:twoCellAnchor editAs="oneCell">
    <xdr:from>
      <xdr:col>6</xdr:col>
      <xdr:colOff>1393825</xdr:colOff>
      <xdr:row>29</xdr:row>
      <xdr:rowOff>108585</xdr:rowOff>
    </xdr:from>
    <xdr:to>
      <xdr:col>6</xdr:col>
      <xdr:colOff>1795780</xdr:colOff>
      <xdr:row>29</xdr:row>
      <xdr:rowOff>313690</xdr:rowOff>
    </xdr:to>
    <xdr:pic>
      <xdr:nvPicPr>
        <xdr:cNvPr id="7" name="Picture 6" descr="Add thêm sản phẩm, tăng số lượng"/>
        <xdr:cNvPicPr>
          <a:picLocks noChangeAspect="1"/>
        </xdr:cNvPicPr>
      </xdr:nvPicPr>
      <xdr:blipFill>
        <a:blip r:embed="rId5"/>
        <a:stretch>
          <a:fillRect/>
        </a:stretch>
      </xdr:blipFill>
      <xdr:spPr>
        <a:xfrm>
          <a:off x="7375525" y="6788150"/>
          <a:ext cx="401955" cy="205105"/>
        </a:xfrm>
        <a:prstGeom prst="rect">
          <a:avLst/>
        </a:prstGeom>
      </xdr:spPr>
    </xdr:pic>
    <xdr:clientData/>
  </xdr:twoCellAnchor>
  <xdr:twoCellAnchor editAs="oneCell">
    <xdr:from>
      <xdr:col>6</xdr:col>
      <xdr:colOff>1821815</xdr:colOff>
      <xdr:row>40</xdr:row>
      <xdr:rowOff>60325</xdr:rowOff>
    </xdr:from>
    <xdr:to>
      <xdr:col>6</xdr:col>
      <xdr:colOff>2312670</xdr:colOff>
      <xdr:row>40</xdr:row>
      <xdr:rowOff>306070</xdr:rowOff>
    </xdr:to>
    <xdr:pic>
      <xdr:nvPicPr>
        <xdr:cNvPr id="8" name="Picture 7" descr="Tăng số lượng 1053"/>
        <xdr:cNvPicPr>
          <a:picLocks noChangeAspect="1"/>
        </xdr:cNvPicPr>
      </xdr:nvPicPr>
      <xdr:blipFill>
        <a:blip r:embed="rId6"/>
        <a:stretch>
          <a:fillRect/>
        </a:stretch>
      </xdr:blipFill>
      <xdr:spPr>
        <a:xfrm>
          <a:off x="7803515" y="10168890"/>
          <a:ext cx="490855" cy="245745"/>
        </a:xfrm>
        <a:prstGeom prst="rect">
          <a:avLst/>
        </a:prstGeom>
      </xdr:spPr>
    </xdr:pic>
    <xdr:clientData/>
  </xdr:twoCellAnchor>
  <xdr:twoCellAnchor editAs="oneCell">
    <xdr:from>
      <xdr:col>6</xdr:col>
      <xdr:colOff>1228725</xdr:colOff>
      <xdr:row>39</xdr:row>
      <xdr:rowOff>92710</xdr:rowOff>
    </xdr:from>
    <xdr:to>
      <xdr:col>6</xdr:col>
      <xdr:colOff>1686560</xdr:colOff>
      <xdr:row>39</xdr:row>
      <xdr:rowOff>320675</xdr:rowOff>
    </xdr:to>
    <xdr:pic>
      <xdr:nvPicPr>
        <xdr:cNvPr id="9" name="Picture 8" descr="Nhập số âm"/>
        <xdr:cNvPicPr>
          <a:picLocks noChangeAspect="1"/>
        </xdr:cNvPicPr>
      </xdr:nvPicPr>
      <xdr:blipFill>
        <a:blip r:embed="rId7"/>
        <a:stretch>
          <a:fillRect/>
        </a:stretch>
      </xdr:blipFill>
      <xdr:spPr>
        <a:xfrm>
          <a:off x="7210425" y="9820275"/>
          <a:ext cx="457835" cy="227965"/>
        </a:xfrm>
        <a:prstGeom prst="rect">
          <a:avLst/>
        </a:prstGeom>
      </xdr:spPr>
    </xdr:pic>
    <xdr:clientData/>
  </xdr:twoCellAnchor>
  <xdr:twoCellAnchor editAs="oneCell">
    <xdr:from>
      <xdr:col>6</xdr:col>
      <xdr:colOff>1594485</xdr:colOff>
      <xdr:row>58</xdr:row>
      <xdr:rowOff>46355</xdr:rowOff>
    </xdr:from>
    <xdr:to>
      <xdr:col>6</xdr:col>
      <xdr:colOff>2197100</xdr:colOff>
      <xdr:row>58</xdr:row>
      <xdr:rowOff>343535</xdr:rowOff>
    </xdr:to>
    <xdr:pic>
      <xdr:nvPicPr>
        <xdr:cNvPr id="11" name="Picture 10" descr="không hiện ảnh sau khi thêm vào giỏ hàng"/>
        <xdr:cNvPicPr>
          <a:picLocks noChangeAspect="1"/>
        </xdr:cNvPicPr>
      </xdr:nvPicPr>
      <xdr:blipFill>
        <a:blip r:embed="rId8"/>
        <a:stretch>
          <a:fillRect/>
        </a:stretch>
      </xdr:blipFill>
      <xdr:spPr>
        <a:xfrm rot="10800000" flipH="1" flipV="1">
          <a:off x="7576185" y="15323820"/>
          <a:ext cx="602615" cy="297180"/>
        </a:xfrm>
        <a:prstGeom prst="rect">
          <a:avLst/>
        </a:prstGeom>
      </xdr:spPr>
    </xdr:pic>
    <xdr:clientData/>
  </xdr:twoCellAnchor>
  <xdr:twoCellAnchor editAs="oneCell">
    <xdr:from>
      <xdr:col>6</xdr:col>
      <xdr:colOff>1127760</xdr:colOff>
      <xdr:row>62</xdr:row>
      <xdr:rowOff>91440</xdr:rowOff>
    </xdr:from>
    <xdr:to>
      <xdr:col>6</xdr:col>
      <xdr:colOff>2294890</xdr:colOff>
      <xdr:row>62</xdr:row>
      <xdr:rowOff>325755</xdr:rowOff>
    </xdr:to>
    <xdr:pic>
      <xdr:nvPicPr>
        <xdr:cNvPr id="10" name="Picture 9" descr="Bug_Không hiện ảnh sản phẩm"/>
        <xdr:cNvPicPr>
          <a:picLocks noChangeAspect="1"/>
        </xdr:cNvPicPr>
      </xdr:nvPicPr>
      <xdr:blipFill>
        <a:blip r:embed="rId9"/>
        <a:stretch>
          <a:fillRect/>
        </a:stretch>
      </xdr:blipFill>
      <xdr:spPr>
        <a:xfrm>
          <a:off x="7109460" y="18289905"/>
          <a:ext cx="1167130" cy="234315"/>
        </a:xfrm>
        <a:prstGeom prst="rect">
          <a:avLst/>
        </a:prstGeom>
      </xdr:spPr>
    </xdr:pic>
    <xdr:clientData/>
  </xdr:twoCellAnchor>
  <xdr:twoCellAnchor editAs="oneCell">
    <xdr:from>
      <xdr:col>6</xdr:col>
      <xdr:colOff>1016000</xdr:colOff>
      <xdr:row>61</xdr:row>
      <xdr:rowOff>575945</xdr:rowOff>
    </xdr:from>
    <xdr:to>
      <xdr:col>6</xdr:col>
      <xdr:colOff>2070735</xdr:colOff>
      <xdr:row>61</xdr:row>
      <xdr:rowOff>1134745</xdr:rowOff>
    </xdr:to>
    <xdr:pic>
      <xdr:nvPicPr>
        <xdr:cNvPr id="12" name="Picture 11" descr="BUG_UI_dangky"/>
        <xdr:cNvPicPr>
          <a:picLocks noChangeAspect="1"/>
        </xdr:cNvPicPr>
      </xdr:nvPicPr>
      <xdr:blipFill>
        <a:blip r:embed="rId10"/>
        <a:stretch>
          <a:fillRect/>
        </a:stretch>
      </xdr:blipFill>
      <xdr:spPr>
        <a:xfrm>
          <a:off x="6997700" y="16615410"/>
          <a:ext cx="1054735" cy="55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127.0.0.1:8000/" TargetMode="External"/><Relationship Id="rId1" Type="http://schemas.openxmlformats.org/officeDocument/2006/relationships/hyperlink" Target="https://github.com/B24DTCN498DUONGTATTRUONG/django-ecommerce-s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5"/>
  <sheetViews>
    <sheetView showGridLines="0" zoomScale="110" zoomScaleNormal="110" topLeftCell="A71" workbookViewId="0">
      <selection activeCell="B73" sqref="B73"/>
    </sheetView>
  </sheetViews>
  <sheetFormatPr defaultColWidth="9.14285714285714" defaultRowHeight="15"/>
  <cols>
    <col min="1" max="1" width="5.42857142857143" style="2" customWidth="1"/>
    <col min="4" max="4" width="8.42857142857143" style="2" customWidth="1"/>
    <col min="5" max="5" width="16.5714285714286" style="2" customWidth="1"/>
    <col min="6" max="6" width="21.2857142857143" style="2" customWidth="1"/>
    <col min="7" max="7" width="30.1428571428571" style="2" customWidth="1"/>
    <col min="8" max="8" width="14" style="2" customWidth="1"/>
    <col min="9" max="9" width="15.2857142857143" style="2" customWidth="1"/>
    <col min="10" max="10" width="12.7142857142857" style="2" customWidth="1"/>
    <col min="11" max="11" width="13.1428571428571" style="2" customWidth="1"/>
    <col min="12" max="12" width="18" style="2" customWidth="1"/>
  </cols>
  <sheetData>
    <row r="1" spans="1:20">
      <c r="A1" s="27" t="s">
        <v>0</v>
      </c>
    </row>
    <row r="2" spans="1:20">
      <c r="A2" s="26" t="s">
        <v>1</v>
      </c>
      <c r="B2" s="28" t="s">
        <v>2</v>
      </c>
    </row>
    <row r="3" spans="1:20">
      <c r="B3" s="29" t="s">
        <v>3</v>
      </c>
    </row>
    <row r="16" spans="1:20">
      <c r="B16" s="30"/>
      <c r="C16" s="58" t="s">
        <v>4</v>
      </c>
      <c r="D16" s="31"/>
      <c r="E16" s="31"/>
      <c r="F16" s="32" t="s">
        <v>5</v>
      </c>
      <c r="G16" s="33"/>
      <c r="H16" s="33"/>
      <c r="I16" s="33"/>
      <c r="J16" s="33"/>
      <c r="K16" s="33"/>
      <c r="L16" s="33"/>
      <c r="M16" s="33"/>
      <c r="N16" s="34"/>
      <c r="P16" s="35"/>
      <c r="Q16" s="35"/>
      <c r="R16" s="35"/>
      <c r="S16" s="35"/>
      <c r="T16" s="35"/>
    </row>
    <row r="17" spans="1:20">
      <c r="B17" s="35"/>
      <c r="C17" s="36" t="s">
        <v>6</v>
      </c>
      <c r="D17" s="37"/>
      <c r="E17" s="38"/>
      <c r="F17" s="32" t="s">
        <v>7</v>
      </c>
      <c r="G17" s="37"/>
      <c r="H17" s="37"/>
      <c r="I17" s="37"/>
      <c r="J17" s="37"/>
      <c r="K17" s="37"/>
      <c r="L17" s="37"/>
      <c r="M17" s="38"/>
      <c r="N17" s="39"/>
      <c r="P17" s="35"/>
      <c r="Q17" s="35"/>
      <c r="R17" s="35"/>
      <c r="S17" s="35"/>
      <c r="T17" s="35"/>
    </row>
    <row r="18" spans="1:20">
      <c r="B18" s="35"/>
      <c r="C18" s="31" t="s">
        <v>8</v>
      </c>
      <c r="D18" s="31"/>
      <c r="E18" s="31"/>
      <c r="F18" s="40" t="s">
        <v>9</v>
      </c>
      <c r="G18" s="37"/>
      <c r="H18" s="37"/>
      <c r="I18" s="37"/>
      <c r="J18" s="37"/>
      <c r="K18" s="37"/>
      <c r="L18" s="37"/>
      <c r="M18" s="38"/>
      <c r="N18" s="35"/>
      <c r="P18" s="35"/>
      <c r="Q18" s="35"/>
      <c r="R18" s="35"/>
      <c r="S18" s="35"/>
      <c r="T18" s="35"/>
    </row>
    <row r="19" spans="1:20">
      <c r="B19" s="35"/>
      <c r="C19" s="58" t="s">
        <v>10</v>
      </c>
      <c r="D19" s="31"/>
      <c r="E19" s="31"/>
      <c r="F19" s="32" t="s">
        <v>11</v>
      </c>
      <c r="G19" s="37"/>
      <c r="H19" s="37"/>
      <c r="I19" s="37"/>
      <c r="J19" s="37"/>
      <c r="K19" s="37"/>
      <c r="L19" s="37"/>
      <c r="M19" s="38"/>
      <c r="N19" s="35"/>
      <c r="P19" s="35"/>
      <c r="Q19" s="35"/>
      <c r="R19" s="35"/>
      <c r="S19" s="35"/>
      <c r="T19" s="35"/>
    </row>
    <row r="20" s="26" customFormat="1" spans="1:20">
      <c r="A20" s="26" t="s">
        <v>12</v>
      </c>
      <c r="B20" s="28" t="s">
        <v>13</v>
      </c>
    </row>
    <row r="21" spans="1:20">
      <c r="A21" t="s">
        <v>14</v>
      </c>
      <c r="B21" s="9" t="s">
        <v>15</v>
      </c>
      <c r="D21"/>
      <c r="E21"/>
      <c r="F21"/>
      <c r="G21"/>
      <c r="H21"/>
      <c r="I21"/>
      <c r="J21"/>
      <c r="K21"/>
      <c r="L21"/>
    </row>
    <row r="22" spans="1:20">
      <c r="B22" t="s">
        <v>16</v>
      </c>
      <c r="D22"/>
      <c r="E22"/>
      <c r="F22"/>
      <c r="G22"/>
      <c r="H22"/>
      <c r="I22"/>
      <c r="J22"/>
      <c r="K22"/>
      <c r="L22"/>
    </row>
    <row r="23" spans="1:20">
      <c r="A23" t="s">
        <v>17</v>
      </c>
      <c r="B23" s="9" t="s">
        <v>18</v>
      </c>
    </row>
    <row r="24" spans="1:20">
      <c r="C24" s="59" t="s">
        <v>19</v>
      </c>
      <c r="D24" s="18"/>
      <c r="E24" s="18"/>
      <c r="F24" s="41" t="s">
        <v>20</v>
      </c>
      <c r="G24" s="37"/>
      <c r="H24" s="37"/>
      <c r="I24" s="37"/>
      <c r="J24" s="38"/>
    </row>
    <row r="25" spans="1:20">
      <c r="C25" s="60" t="s">
        <v>21</v>
      </c>
      <c r="D25" s="37"/>
      <c r="E25" s="38"/>
      <c r="F25" s="41" t="s">
        <v>22</v>
      </c>
      <c r="G25" s="37"/>
      <c r="H25" s="37"/>
      <c r="I25" s="37"/>
      <c r="J25" s="38"/>
    </row>
    <row r="26" spans="1:20">
      <c r="C26" s="61" t="s">
        <v>23</v>
      </c>
      <c r="D26" s="37"/>
      <c r="E26" s="37"/>
      <c r="F26" s="41" t="s">
        <v>24</v>
      </c>
      <c r="G26" s="37"/>
      <c r="H26" s="37"/>
      <c r="I26" s="37"/>
      <c r="J26" s="38"/>
      <c r="K26"/>
      <c r="L26"/>
    </row>
    <row r="27" spans="1:20">
      <c r="C27" s="60" t="s">
        <v>25</v>
      </c>
      <c r="D27" s="43"/>
      <c r="E27" s="44"/>
      <c r="F27" s="41" t="s">
        <v>26</v>
      </c>
      <c r="G27" s="37"/>
      <c r="H27" s="37"/>
      <c r="I27" s="37"/>
      <c r="J27" s="38"/>
    </row>
    <row r="28" spans="1:20">
      <c r="C28" s="45"/>
      <c r="E28" s="46"/>
      <c r="F28" s="47" t="s">
        <v>27</v>
      </c>
      <c r="G28" s="48"/>
      <c r="H28" s="48"/>
      <c r="I28" s="48"/>
      <c r="J28" s="49"/>
    </row>
    <row r="29" spans="1:20">
      <c r="C29" s="45"/>
      <c r="E29" s="46"/>
      <c r="F29" s="41" t="s">
        <v>28</v>
      </c>
      <c r="G29" s="37"/>
      <c r="H29" s="37"/>
      <c r="I29" s="37"/>
      <c r="J29" s="38"/>
    </row>
    <row r="30" spans="1:20">
      <c r="C30" s="50"/>
      <c r="D30" s="48"/>
      <c r="E30" s="49"/>
      <c r="F30" s="41" t="s">
        <v>29</v>
      </c>
      <c r="G30" s="37"/>
      <c r="H30" s="37"/>
      <c r="I30" s="37"/>
      <c r="J30" s="38"/>
    </row>
    <row r="31" spans="1:20">
      <c r="A31" t="s">
        <v>30</v>
      </c>
      <c r="B31" t="s">
        <v>31</v>
      </c>
    </row>
    <row r="32" spans="1:20">
      <c r="C32" s="60" t="s">
        <v>32</v>
      </c>
      <c r="D32" s="43"/>
      <c r="E32" s="44"/>
      <c r="F32" s="41" t="s">
        <v>33</v>
      </c>
      <c r="G32" s="37"/>
      <c r="H32" s="37"/>
      <c r="I32" s="37"/>
      <c r="J32" s="37"/>
      <c r="K32" s="37"/>
      <c r="L32" s="38"/>
    </row>
    <row r="33" spans="1:12">
      <c r="C33" s="45"/>
      <c r="E33" s="46"/>
      <c r="F33" s="41" t="s">
        <v>34</v>
      </c>
      <c r="G33" s="37"/>
      <c r="H33" s="37"/>
      <c r="I33" s="37"/>
      <c r="J33" s="37"/>
      <c r="K33" s="37"/>
      <c r="L33" s="38"/>
    </row>
    <row r="34" spans="1:12">
      <c r="C34" s="50"/>
      <c r="D34" s="48"/>
      <c r="E34" s="49"/>
      <c r="F34" s="41" t="s">
        <v>35</v>
      </c>
      <c r="G34" s="37"/>
      <c r="H34" s="37"/>
      <c r="I34" s="37"/>
      <c r="J34" s="37"/>
      <c r="K34" s="37"/>
      <c r="L34" s="38"/>
    </row>
    <row r="35" spans="1:12">
      <c r="C35" s="60" t="s">
        <v>36</v>
      </c>
      <c r="D35" s="43"/>
      <c r="E35" s="44"/>
      <c r="F35" s="41" t="s">
        <v>37</v>
      </c>
      <c r="G35" s="37"/>
      <c r="H35" s="37"/>
      <c r="I35" s="37"/>
      <c r="J35" s="37"/>
      <c r="K35" s="37"/>
      <c r="L35" s="38"/>
    </row>
    <row r="36" spans="1:12">
      <c r="C36" s="45"/>
      <c r="E36" s="46"/>
      <c r="F36" s="41" t="s">
        <v>38</v>
      </c>
      <c r="G36" s="37"/>
      <c r="H36" s="37"/>
      <c r="I36" s="37"/>
      <c r="J36" s="37"/>
      <c r="K36" s="37"/>
      <c r="L36" s="38"/>
    </row>
    <row r="37" spans="1:12">
      <c r="C37" s="50"/>
      <c r="D37" s="48"/>
      <c r="E37" s="49"/>
      <c r="F37" s="41" t="s">
        <v>39</v>
      </c>
      <c r="G37" s="37"/>
      <c r="H37" s="37"/>
      <c r="I37" s="37"/>
      <c r="J37" s="37"/>
      <c r="K37" s="37"/>
      <c r="L37" s="38"/>
    </row>
    <row r="38" spans="1:12">
      <c r="A38" t="s">
        <v>40</v>
      </c>
      <c r="B38" t="s">
        <v>41</v>
      </c>
    </row>
    <row r="39" spans="1:12">
      <c r="C39" s="60" t="s">
        <v>42</v>
      </c>
      <c r="D39" s="37"/>
      <c r="E39" s="38"/>
      <c r="F39" s="18" t="s">
        <v>43</v>
      </c>
      <c r="G39" s="51"/>
      <c r="H39" s="52"/>
    </row>
    <row r="40" spans="1:12">
      <c r="C40" s="60" t="s">
        <v>25</v>
      </c>
      <c r="D40" s="43"/>
      <c r="E40" s="44"/>
      <c r="F40" s="18" t="s">
        <v>44</v>
      </c>
      <c r="G40" s="51"/>
      <c r="H40" s="52"/>
    </row>
    <row r="41" spans="1:12">
      <c r="C41" s="45"/>
      <c r="E41" s="46"/>
      <c r="F41" s="18" t="s">
        <v>45</v>
      </c>
      <c r="G41" s="51"/>
      <c r="H41" s="52"/>
      <c r="J41"/>
    </row>
    <row r="42" spans="1:12">
      <c r="C42" s="45"/>
      <c r="E42" s="46"/>
      <c r="F42" s="42" t="s">
        <v>46</v>
      </c>
      <c r="G42" s="37"/>
      <c r="H42" s="52"/>
    </row>
    <row r="43" spans="1:12">
      <c r="C43" s="50"/>
      <c r="D43" s="48"/>
      <c r="E43" s="49"/>
      <c r="F43" s="18" t="s">
        <v>47</v>
      </c>
      <c r="G43" s="51"/>
      <c r="H43" s="52"/>
      <c r="I43" s="53"/>
    </row>
    <row r="44" spans="1:12">
      <c r="A44" t="s">
        <v>48</v>
      </c>
      <c r="B44" t="s">
        <v>49</v>
      </c>
    </row>
    <row r="45" spans="1:12">
      <c r="C45" s="59" t="s">
        <v>50</v>
      </c>
      <c r="D45" s="18"/>
      <c r="E45" s="18"/>
      <c r="F45" s="41" t="s">
        <v>51</v>
      </c>
      <c r="G45" s="37"/>
      <c r="H45" s="38"/>
    </row>
    <row r="46" spans="1:12">
      <c r="C46" s="59" t="s">
        <v>52</v>
      </c>
      <c r="D46" s="18"/>
      <c r="E46" s="18"/>
      <c r="F46" s="18" t="s">
        <v>53</v>
      </c>
      <c r="G46" s="51"/>
      <c r="H46" s="52"/>
    </row>
    <row r="47" spans="1:12">
      <c r="C47" s="60" t="s">
        <v>54</v>
      </c>
      <c r="D47" s="37"/>
      <c r="E47" s="38"/>
      <c r="F47" s="41" t="s">
        <v>55</v>
      </c>
      <c r="G47" s="37"/>
      <c r="H47" s="38"/>
    </row>
    <row r="48" spans="1:12">
      <c r="A48" t="s">
        <v>56</v>
      </c>
      <c r="B48" t="s">
        <v>57</v>
      </c>
    </row>
    <row r="49" spans="1:9">
      <c r="C49" s="41" t="s">
        <v>58</v>
      </c>
      <c r="D49" s="37"/>
      <c r="E49" s="38"/>
      <c r="F49" s="41" t="s">
        <v>59</v>
      </c>
      <c r="G49" s="37"/>
      <c r="H49" s="38"/>
    </row>
    <row r="50" spans="1:9">
      <c r="C50" s="18" t="s">
        <v>60</v>
      </c>
      <c r="D50" s="18"/>
      <c r="E50" s="18"/>
      <c r="F50" s="41" t="s">
        <v>61</v>
      </c>
      <c r="G50" s="37"/>
      <c r="H50" s="38"/>
    </row>
    <row r="51" spans="1:9">
      <c r="C51" s="41" t="s">
        <v>62</v>
      </c>
      <c r="D51" s="37"/>
      <c r="E51" s="38"/>
      <c r="F51" s="18" t="s">
        <v>63</v>
      </c>
      <c r="G51" s="51"/>
      <c r="H51" s="52"/>
    </row>
    <row r="52" spans="1:9">
      <c r="A52" t="s">
        <v>64</v>
      </c>
      <c r="B52" t="s">
        <v>65</v>
      </c>
    </row>
    <row r="53" spans="1:9">
      <c r="C53" s="41" t="s">
        <v>66</v>
      </c>
      <c r="D53" s="37"/>
      <c r="E53" s="38"/>
      <c r="F53" s="41" t="s">
        <v>67</v>
      </c>
      <c r="G53" s="37"/>
      <c r="H53" s="37"/>
      <c r="I53" s="38"/>
    </row>
    <row r="54" spans="1:9">
      <c r="C54" s="41" t="s">
        <v>68</v>
      </c>
      <c r="D54" s="37"/>
      <c r="E54" s="38"/>
      <c r="F54" s="18" t="s">
        <v>69</v>
      </c>
      <c r="G54" s="51"/>
      <c r="H54" s="54"/>
      <c r="I54" s="52"/>
    </row>
    <row r="55" spans="1:9">
      <c r="A55" s="26" t="s">
        <v>70</v>
      </c>
      <c r="B55" s="26" t="s">
        <v>71</v>
      </c>
    </row>
    <row r="56" spans="1:9">
      <c r="A56" t="s">
        <v>14</v>
      </c>
      <c r="B56" t="s">
        <v>72</v>
      </c>
    </row>
    <row r="57" spans="1:9">
      <c r="A57" t="s">
        <v>17</v>
      </c>
      <c r="B57" t="s">
        <v>73</v>
      </c>
    </row>
    <row r="58" spans="1:9">
      <c r="A58" t="s">
        <v>30</v>
      </c>
      <c r="B58" t="s">
        <v>74</v>
      </c>
    </row>
    <row r="59" spans="1:9">
      <c r="A59" t="s">
        <v>40</v>
      </c>
      <c r="B59" t="s">
        <v>75</v>
      </c>
    </row>
    <row r="60" spans="1:9">
      <c r="A60" t="s">
        <v>48</v>
      </c>
      <c r="B60" t="s">
        <v>76</v>
      </c>
    </row>
    <row r="61" spans="1:9">
      <c r="A61" t="s">
        <v>56</v>
      </c>
      <c r="B61" t="s">
        <v>77</v>
      </c>
    </row>
    <row r="62" spans="1:9">
      <c r="A62" t="s">
        <v>64</v>
      </c>
      <c r="B62" t="s">
        <v>78</v>
      </c>
    </row>
    <row r="63" spans="1:9">
      <c r="A63" s="26" t="s">
        <v>79</v>
      </c>
      <c r="B63" s="26" t="s">
        <v>80</v>
      </c>
    </row>
    <row r="64" spans="1:9">
      <c r="B64" t="s">
        <v>81</v>
      </c>
    </row>
    <row r="65" spans="1:13">
      <c r="B65" t="s">
        <v>82</v>
      </c>
    </row>
    <row r="66" spans="1:13">
      <c r="B66" t="s">
        <v>83</v>
      </c>
    </row>
    <row r="67" ht="17.1" customHeight="1" spans="1:13">
      <c r="D67" s="55" t="s">
        <v>84</v>
      </c>
      <c r="E67" s="55" t="s">
        <v>85</v>
      </c>
      <c r="F67" s="55" t="s">
        <v>86</v>
      </c>
      <c r="G67" s="56" t="s">
        <v>87</v>
      </c>
    </row>
    <row r="68" ht="60" customHeight="1" spans="1:13">
      <c r="D68" s="19">
        <v>1</v>
      </c>
      <c r="E68" s="11" t="s">
        <v>88</v>
      </c>
      <c r="F68" s="11" t="s">
        <v>89</v>
      </c>
      <c r="G68" s="18" t="s">
        <v>90</v>
      </c>
    </row>
    <row r="69" ht="60" customHeight="1" spans="1:13">
      <c r="D69" s="19">
        <v>2</v>
      </c>
      <c r="E69" s="11" t="s">
        <v>91</v>
      </c>
      <c r="F69" s="11" t="s">
        <v>92</v>
      </c>
      <c r="G69" s="11" t="s">
        <v>93</v>
      </c>
    </row>
    <row r="70" ht="240" customHeight="1" spans="1:13">
      <c r="D70" s="19">
        <v>3</v>
      </c>
      <c r="E70" s="11" t="s">
        <v>94</v>
      </c>
      <c r="F70" s="62" t="s">
        <v>95</v>
      </c>
      <c r="G70" s="18" t="s">
        <v>96</v>
      </c>
    </row>
    <row r="71" spans="1:13">
      <c r="A71" t="s">
        <v>97</v>
      </c>
      <c r="B71" t="s">
        <v>98</v>
      </c>
    </row>
    <row r="72" ht="65.1" customHeight="1" spans="1:13">
      <c r="D72" s="57" t="s">
        <v>84</v>
      </c>
      <c r="E72" s="57" t="s">
        <v>85</v>
      </c>
      <c r="F72" s="57" t="s">
        <v>99</v>
      </c>
      <c r="G72" s="57" t="s">
        <v>100</v>
      </c>
      <c r="H72" s="57" t="s">
        <v>101</v>
      </c>
      <c r="I72" s="57" t="s">
        <v>102</v>
      </c>
      <c r="J72" s="57" t="s">
        <v>103</v>
      </c>
      <c r="K72" s="57" t="s">
        <v>104</v>
      </c>
      <c r="L72" s="57" t="s">
        <v>105</v>
      </c>
      <c r="M72" s="57" t="s">
        <v>106</v>
      </c>
    </row>
    <row r="73" spans="1:13">
      <c r="D73">
        <v>1</v>
      </c>
    </row>
    <row r="74" spans="1:13">
      <c r="D74">
        <v>2</v>
      </c>
    </row>
    <row r="75" spans="1:13">
      <c r="D75">
        <v>3</v>
      </c>
    </row>
  </sheetData>
  <mergeCells count="41">
    <mergeCell ref="A1:S1"/>
    <mergeCell ref="B2:D2"/>
    <mergeCell ref="C17:E17"/>
    <mergeCell ref="F17:M17"/>
    <mergeCell ref="F18:M18"/>
    <mergeCell ref="F19:M19"/>
    <mergeCell ref="B20:C20"/>
    <mergeCell ref="B21:C21"/>
    <mergeCell ref="B23:E23"/>
    <mergeCell ref="F24:J24"/>
    <mergeCell ref="C25:E25"/>
    <mergeCell ref="F25:J25"/>
    <mergeCell ref="C26:E26"/>
    <mergeCell ref="F26:J26"/>
    <mergeCell ref="F27:J27"/>
    <mergeCell ref="F28:J28"/>
    <mergeCell ref="F29:J29"/>
    <mergeCell ref="F30:J30"/>
    <mergeCell ref="F32:L32"/>
    <mergeCell ref="F33:L33"/>
    <mergeCell ref="F34:L34"/>
    <mergeCell ref="F35:L35"/>
    <mergeCell ref="F36:L36"/>
    <mergeCell ref="F37:L37"/>
    <mergeCell ref="C39:E39"/>
    <mergeCell ref="F42:G42"/>
    <mergeCell ref="F45:H45"/>
    <mergeCell ref="C47:E47"/>
    <mergeCell ref="F47:H47"/>
    <mergeCell ref="C49:E49"/>
    <mergeCell ref="F49:H49"/>
    <mergeCell ref="F50:H50"/>
    <mergeCell ref="C51:E51"/>
    <mergeCell ref="C53:E53"/>
    <mergeCell ref="F53:I53"/>
    <mergeCell ref="C54:E54"/>
    <mergeCell ref="C40:E43"/>
    <mergeCell ref="C27:E30"/>
    <mergeCell ref="C32:E34"/>
    <mergeCell ref="B3:T15"/>
    <mergeCell ref="C35:E37"/>
  </mergeCells>
  <hyperlinks>
    <hyperlink ref="F16" r:id="rId1" display="https://github.com/B24DTCN498DUONGTATTRUONG/django-ecommerce-sqa"/>
    <hyperlink ref="F19" r:id="rId2" display="http://127.0.0.1:8000"/>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1"/>
  <sheetViews>
    <sheetView tabSelected="1" zoomScale="80" zoomScaleNormal="80" topLeftCell="A56" workbookViewId="0">
      <selection activeCell="K62" sqref="K62"/>
    </sheetView>
  </sheetViews>
  <sheetFormatPr defaultColWidth="10.2857142857143" defaultRowHeight="15"/>
  <cols>
    <col min="1" max="1" width="3.28571428571429" style="2" customWidth="1"/>
    <col min="5" max="5" width="15.1428571428571" style="2" customWidth="1"/>
    <col min="6" max="6" width="40.4285714285714" style="2" customWidth="1"/>
    <col min="7" max="7" width="36.5714285714286" style="2" customWidth="1"/>
    <col min="9" max="9" width="18.5714285714286" customWidth="1"/>
    <col min="10" max="10" width="16.7142857142857" customWidth="1"/>
  </cols>
  <sheetData>
    <row r="1" spans="1:10">
      <c r="D1" s="3" t="s">
        <v>107</v>
      </c>
    </row>
    <row r="2" spans="1:10">
      <c r="F2" s="4" t="s">
        <v>108</v>
      </c>
      <c r="G2" s="5" t="s">
        <v>109</v>
      </c>
    </row>
    <row r="3" spans="1:10">
      <c r="F3" s="4" t="s">
        <v>110</v>
      </c>
      <c r="G3" s="5" t="s">
        <v>111</v>
      </c>
    </row>
    <row r="4" spans="1:10">
      <c r="F4" s="4" t="s">
        <v>99</v>
      </c>
      <c r="G4" s="6">
        <f>COUNTIF($H$12:$H$1112,"Passed")</f>
        <v>18</v>
      </c>
    </row>
    <row r="5" spans="1:10">
      <c r="F5" s="4" t="s">
        <v>100</v>
      </c>
      <c r="G5" s="6">
        <f>COUNTIF($H$12:$H$1112,"Failed")</f>
        <v>5</v>
      </c>
    </row>
    <row r="6" spans="1:10">
      <c r="F6" s="4" t="s">
        <v>101</v>
      </c>
      <c r="G6" s="6">
        <f>COUNTIF($H$12:$H$1131,"PE")</f>
        <v>0</v>
      </c>
    </row>
    <row r="7" spans="1:10">
      <c r="F7" s="4" t="s">
        <v>102</v>
      </c>
      <c r="G7" s="6">
        <f>COUNTIF($H$12:$H$1112,"Not run")</f>
        <v>1</v>
      </c>
      <c r="H7" t="s">
        <v>112</v>
      </c>
    </row>
    <row r="8" spans="1:10">
      <c r="F8" s="4" t="s">
        <v>103</v>
      </c>
      <c r="G8" s="6">
        <f>COUNTA($D$12:$D$1131)</f>
        <v>33</v>
      </c>
    </row>
    <row r="10" spans="1:10">
      <c r="A10" s="7" t="s">
        <v>1</v>
      </c>
      <c r="B10" t="s">
        <v>113</v>
      </c>
    </row>
    <row r="11" spans="1:10">
      <c r="A11" s="8"/>
      <c r="B11" s="63" t="s">
        <v>114</v>
      </c>
    </row>
    <row r="12" spans="1:10">
      <c r="B12" s="9" t="s">
        <v>115</v>
      </c>
    </row>
    <row r="13" spans="1:10">
      <c r="B13" s="63" t="s">
        <v>116</v>
      </c>
    </row>
    <row r="14" spans="1:10">
      <c r="B14" s="9"/>
      <c r="C14" s="10" t="s">
        <v>117</v>
      </c>
      <c r="D14" s="10" t="s">
        <v>118</v>
      </c>
      <c r="E14" s="10" t="s">
        <v>86</v>
      </c>
      <c r="F14" s="10" t="s">
        <v>119</v>
      </c>
      <c r="G14" s="10" t="s">
        <v>120</v>
      </c>
      <c r="H14" s="10" t="s">
        <v>121</v>
      </c>
      <c r="J14" s="9"/>
    </row>
    <row r="15" ht="30" customHeight="1" spans="1:10">
      <c r="B15" s="9"/>
      <c r="C15" s="11" t="s">
        <v>122</v>
      </c>
      <c r="D15" s="11" t="s">
        <v>123</v>
      </c>
      <c r="E15" s="11" t="s">
        <v>124</v>
      </c>
      <c r="F15" s="11" t="s">
        <v>125</v>
      </c>
      <c r="G15" s="11" t="s">
        <v>126</v>
      </c>
      <c r="H15" s="11" t="s">
        <v>127</v>
      </c>
      <c r="I15" s="9"/>
      <c r="J15" s="9"/>
    </row>
    <row r="16" ht="45" customHeight="1" spans="1:10">
      <c r="B16" s="9"/>
      <c r="C16" s="11" t="s">
        <v>128</v>
      </c>
      <c r="D16" s="11" t="s">
        <v>129</v>
      </c>
      <c r="E16" s="11" t="s">
        <v>130</v>
      </c>
      <c r="F16" s="11" t="s">
        <v>131</v>
      </c>
      <c r="G16" s="11" t="s">
        <v>132</v>
      </c>
      <c r="H16" s="11" t="s">
        <v>127</v>
      </c>
      <c r="I16" s="9"/>
      <c r="J16" s="9"/>
    </row>
    <row r="17" ht="30" customHeight="1" spans="1:10">
      <c r="B17" s="9"/>
      <c r="C17" s="11" t="s">
        <v>133</v>
      </c>
      <c r="D17" s="11" t="s">
        <v>134</v>
      </c>
      <c r="E17" s="11" t="s">
        <v>135</v>
      </c>
      <c r="F17" s="11" t="s">
        <v>136</v>
      </c>
      <c r="G17" s="11" t="s">
        <v>137</v>
      </c>
      <c r="H17" s="11" t="s">
        <v>127</v>
      </c>
      <c r="I17" s="9"/>
      <c r="J17" s="9"/>
    </row>
    <row r="18" ht="30" customHeight="1" spans="1:10">
      <c r="B18" s="3"/>
      <c r="C18" s="11" t="s">
        <v>138</v>
      </c>
      <c r="D18" s="11" t="s">
        <v>139</v>
      </c>
      <c r="E18" s="11" t="s">
        <v>140</v>
      </c>
      <c r="F18" s="11" t="s">
        <v>141</v>
      </c>
      <c r="G18" s="11" t="s">
        <v>142</v>
      </c>
      <c r="H18" s="11" t="s">
        <v>127</v>
      </c>
      <c r="I18" s="3"/>
      <c r="J18" s="3"/>
    </row>
    <row r="19" spans="1:10">
      <c r="B19" s="3"/>
      <c r="C19" s="3"/>
      <c r="D19" s="3"/>
      <c r="E19" s="3"/>
      <c r="F19" s="9"/>
      <c r="G19" s="9"/>
      <c r="H19" s="9"/>
      <c r="I19" s="3"/>
      <c r="J19" s="3"/>
    </row>
    <row r="20" spans="1:10">
      <c r="B20" s="3"/>
      <c r="C20" s="3"/>
      <c r="D20" s="3"/>
      <c r="E20" s="3"/>
      <c r="F20" s="9"/>
      <c r="G20" s="9"/>
      <c r="H20" s="9"/>
      <c r="I20" s="3"/>
      <c r="J20" s="3"/>
    </row>
    <row r="21" spans="1:10">
      <c r="B21" s="3"/>
      <c r="C21" s="3"/>
      <c r="D21" s="3"/>
      <c r="E21" s="3"/>
      <c r="F21" s="9"/>
      <c r="G21" s="9"/>
      <c r="H21" s="9"/>
      <c r="I21" s="3"/>
      <c r="J21" s="3"/>
    </row>
    <row r="22" spans="1:10">
      <c r="B22" s="3"/>
      <c r="C22" s="3"/>
      <c r="D22" s="3"/>
      <c r="E22" s="3"/>
      <c r="F22" s="9"/>
      <c r="G22" s="9"/>
      <c r="H22" s="9"/>
      <c r="I22" s="3"/>
      <c r="J22" s="3"/>
    </row>
    <row r="23" spans="1:10">
      <c r="B23" s="3"/>
      <c r="C23" s="3"/>
      <c r="D23" s="3"/>
      <c r="E23" s="3"/>
      <c r="F23" s="9"/>
      <c r="G23" s="9"/>
      <c r="H23" s="9"/>
      <c r="I23" s="3"/>
      <c r="J23" s="3"/>
    </row>
    <row r="24" spans="1:10">
      <c r="B24" s="3"/>
      <c r="C24" s="3"/>
      <c r="D24" s="3"/>
      <c r="E24" s="3"/>
      <c r="F24" s="9"/>
      <c r="G24" s="3"/>
      <c r="H24" s="3"/>
      <c r="I24" s="3"/>
      <c r="J24" s="3"/>
    </row>
    <row r="25" ht="15.95" customHeight="1" spans="1:10">
      <c r="B25" s="3"/>
    </row>
    <row r="26" spans="1:10">
      <c r="A26" t="s">
        <v>12</v>
      </c>
      <c r="B26" t="s">
        <v>143</v>
      </c>
      <c r="E26"/>
    </row>
    <row r="27" spans="1:10">
      <c r="A27" t="s">
        <v>14</v>
      </c>
      <c r="B27" s="9" t="s">
        <v>144</v>
      </c>
      <c r="E27"/>
      <c r="F27"/>
    </row>
    <row r="28" spans="1:10">
      <c r="C28" s="10" t="s">
        <v>117</v>
      </c>
      <c r="D28" s="10" t="s">
        <v>118</v>
      </c>
      <c r="E28" s="10" t="s">
        <v>86</v>
      </c>
      <c r="F28" s="10" t="s">
        <v>119</v>
      </c>
      <c r="G28" s="10" t="s">
        <v>120</v>
      </c>
      <c r="H28" s="10" t="s">
        <v>121</v>
      </c>
    </row>
    <row r="29" ht="30" customHeight="1" spans="1:10">
      <c r="C29" s="11" t="s">
        <v>145</v>
      </c>
      <c r="D29" s="11" t="s">
        <v>146</v>
      </c>
      <c r="E29" s="11" t="s">
        <v>147</v>
      </c>
      <c r="F29" s="11" t="s">
        <v>148</v>
      </c>
      <c r="G29" s="11" t="s">
        <v>149</v>
      </c>
      <c r="H29" s="11" t="s">
        <v>127</v>
      </c>
    </row>
    <row r="30" ht="30" customHeight="1" spans="1:10">
      <c r="C30" s="11" t="s">
        <v>150</v>
      </c>
      <c r="D30" s="11" t="s">
        <v>146</v>
      </c>
      <c r="E30" s="11" t="s">
        <v>151</v>
      </c>
      <c r="F30" s="11" t="s">
        <v>152</v>
      </c>
      <c r="G30" s="11" t="s">
        <v>153</v>
      </c>
      <c r="H30" s="11" t="s">
        <v>127</v>
      </c>
    </row>
    <row r="31" ht="30" customHeight="1" spans="1:10">
      <c r="C31" s="11" t="s">
        <v>154</v>
      </c>
      <c r="D31" s="11" t="s">
        <v>146</v>
      </c>
      <c r="E31" s="11" t="s">
        <v>155</v>
      </c>
      <c r="F31" s="11" t="s">
        <v>156</v>
      </c>
      <c r="G31" s="11" t="s">
        <v>157</v>
      </c>
      <c r="H31" s="11" t="s">
        <v>158</v>
      </c>
    </row>
    <row r="32" spans="1:10">
      <c r="A32" t="s">
        <v>17</v>
      </c>
      <c r="B32" s="9" t="s">
        <v>159</v>
      </c>
      <c r="E32"/>
      <c r="F32"/>
    </row>
    <row r="33" spans="1:8">
      <c r="C33" s="10" t="s">
        <v>117</v>
      </c>
      <c r="D33" s="10" t="s">
        <v>118</v>
      </c>
      <c r="E33" s="10" t="s">
        <v>86</v>
      </c>
      <c r="F33" s="10" t="s">
        <v>119</v>
      </c>
      <c r="G33" s="10" t="s">
        <v>120</v>
      </c>
      <c r="H33" s="10" t="s">
        <v>121</v>
      </c>
    </row>
    <row r="34" ht="30" customHeight="1" spans="1:8">
      <c r="C34" s="11" t="s">
        <v>160</v>
      </c>
      <c r="D34" s="11" t="s">
        <v>161</v>
      </c>
      <c r="E34" s="11" t="s">
        <v>162</v>
      </c>
      <c r="F34" s="11" t="s">
        <v>163</v>
      </c>
      <c r="G34" s="11" t="s">
        <v>164</v>
      </c>
      <c r="H34" s="11" t="s">
        <v>127</v>
      </c>
    </row>
    <row r="35" ht="30" customHeight="1" spans="1:8">
      <c r="C35" s="11" t="s">
        <v>165</v>
      </c>
      <c r="D35" s="11" t="s">
        <v>161</v>
      </c>
      <c r="E35" s="11" t="s">
        <v>166</v>
      </c>
      <c r="F35" s="11" t="s">
        <v>167</v>
      </c>
      <c r="G35" s="11"/>
      <c r="H35" s="11" t="s">
        <v>127</v>
      </c>
    </row>
    <row r="36" spans="1:8">
      <c r="A36" t="s">
        <v>30</v>
      </c>
      <c r="B36" s="9" t="s">
        <v>168</v>
      </c>
      <c r="D36" s="12"/>
      <c r="E36" s="12"/>
      <c r="F36" s="12"/>
      <c r="G36" s="12"/>
      <c r="H36" s="12"/>
    </row>
    <row r="37" spans="1:8">
      <c r="C37" s="10" t="s">
        <v>117</v>
      </c>
      <c r="D37" s="10" t="s">
        <v>118</v>
      </c>
      <c r="E37" s="10" t="s">
        <v>86</v>
      </c>
      <c r="F37" s="10" t="s">
        <v>119</v>
      </c>
      <c r="G37" s="10" t="s">
        <v>120</v>
      </c>
      <c r="H37" s="10" t="s">
        <v>121</v>
      </c>
    </row>
    <row r="38" ht="30" customHeight="1" spans="1:8">
      <c r="C38" s="11" t="s">
        <v>169</v>
      </c>
      <c r="D38" s="11" t="s">
        <v>170</v>
      </c>
      <c r="E38" s="11" t="s">
        <v>153</v>
      </c>
      <c r="F38" s="11" t="s">
        <v>171</v>
      </c>
      <c r="G38" s="11" t="s">
        <v>172</v>
      </c>
      <c r="H38" s="11" t="s">
        <v>127</v>
      </c>
    </row>
    <row r="39" ht="30" customHeight="1" spans="1:8">
      <c r="C39" s="11" t="s">
        <v>173</v>
      </c>
      <c r="D39" s="11" t="s">
        <v>170</v>
      </c>
      <c r="E39" s="11" t="s">
        <v>174</v>
      </c>
      <c r="F39" s="11" t="s">
        <v>175</v>
      </c>
      <c r="G39" s="11" t="s">
        <v>176</v>
      </c>
      <c r="H39" s="11" t="s">
        <v>127</v>
      </c>
    </row>
    <row r="40" ht="30" customHeight="1" spans="1:8">
      <c r="C40" s="11" t="s">
        <v>177</v>
      </c>
      <c r="D40" s="11" t="s">
        <v>170</v>
      </c>
      <c r="E40" s="11" t="s">
        <v>178</v>
      </c>
      <c r="F40" s="11" t="s">
        <v>179</v>
      </c>
      <c r="G40" s="11" t="s">
        <v>180</v>
      </c>
      <c r="H40" s="11" t="s">
        <v>127</v>
      </c>
    </row>
    <row r="41" ht="30" customHeight="1" spans="1:8">
      <c r="C41" s="11" t="s">
        <v>181</v>
      </c>
      <c r="D41" s="11" t="s">
        <v>170</v>
      </c>
      <c r="E41" s="11" t="s">
        <v>182</v>
      </c>
      <c r="F41" s="11" t="s">
        <v>183</v>
      </c>
      <c r="G41" s="11" t="s">
        <v>184</v>
      </c>
      <c r="H41" s="11" t="s">
        <v>127</v>
      </c>
    </row>
    <row r="42" spans="1:8">
      <c r="A42" t="s">
        <v>70</v>
      </c>
      <c r="B42" s="9" t="s">
        <v>185</v>
      </c>
    </row>
    <row r="43" spans="1:8">
      <c r="A43" t="s">
        <v>14</v>
      </c>
      <c r="B43" s="9" t="s">
        <v>186</v>
      </c>
    </row>
    <row r="44" spans="1:8">
      <c r="B44" s="13"/>
      <c r="C44" s="10" t="s">
        <v>117</v>
      </c>
      <c r="D44" s="10" t="s">
        <v>118</v>
      </c>
      <c r="E44" s="10" t="s">
        <v>86</v>
      </c>
      <c r="F44" s="10" t="s">
        <v>119</v>
      </c>
      <c r="G44" s="10" t="s">
        <v>120</v>
      </c>
      <c r="H44" s="10" t="s">
        <v>121</v>
      </c>
    </row>
    <row r="45" ht="30" customHeight="1" spans="1:8">
      <c r="B45" s="13"/>
      <c r="C45" s="11" t="s">
        <v>187</v>
      </c>
      <c r="D45" s="11" t="s">
        <v>146</v>
      </c>
      <c r="E45" s="11" t="s">
        <v>188</v>
      </c>
      <c r="F45" s="11" t="s">
        <v>189</v>
      </c>
      <c r="G45" s="11" t="s">
        <v>190</v>
      </c>
      <c r="H45" s="11" t="s">
        <v>127</v>
      </c>
    </row>
    <row r="46" ht="30" customHeight="1" spans="1:8">
      <c r="C46" s="11" t="s">
        <v>191</v>
      </c>
      <c r="D46" s="11" t="s">
        <v>146</v>
      </c>
      <c r="E46" s="11" t="s">
        <v>192</v>
      </c>
      <c r="F46" s="11" t="s">
        <v>193</v>
      </c>
      <c r="G46" s="11" t="s">
        <v>194</v>
      </c>
      <c r="H46" s="11" t="s">
        <v>127</v>
      </c>
    </row>
    <row r="47" spans="1:8">
      <c r="A47" t="s">
        <v>17</v>
      </c>
      <c r="B47" t="s">
        <v>195</v>
      </c>
      <c r="E47"/>
      <c r="F47"/>
      <c r="G47"/>
    </row>
    <row r="48" spans="1:8">
      <c r="C48" s="10" t="s">
        <v>117</v>
      </c>
      <c r="D48" s="10" t="s">
        <v>118</v>
      </c>
      <c r="E48" s="10" t="s">
        <v>86</v>
      </c>
      <c r="F48" s="10" t="s">
        <v>119</v>
      </c>
      <c r="G48" s="10" t="s">
        <v>120</v>
      </c>
      <c r="H48" s="10" t="s">
        <v>121</v>
      </c>
    </row>
    <row r="49" spans="1:11">
      <c r="C49" s="11" t="s">
        <v>196</v>
      </c>
      <c r="D49" s="11" t="s">
        <v>197</v>
      </c>
      <c r="E49" s="11" t="s">
        <v>198</v>
      </c>
      <c r="F49" s="11" t="s">
        <v>199</v>
      </c>
      <c r="G49" s="11" t="s">
        <v>200</v>
      </c>
      <c r="H49" s="11" t="s">
        <v>127</v>
      </c>
    </row>
    <row r="50" ht="30" customHeight="1" spans="1:11">
      <c r="B50" s="14"/>
      <c r="C50" s="11" t="s">
        <v>201</v>
      </c>
      <c r="D50" s="11" t="s">
        <v>202</v>
      </c>
      <c r="E50" s="11" t="s">
        <v>203</v>
      </c>
      <c r="F50" s="11" t="s">
        <v>204</v>
      </c>
      <c r="G50" s="11" t="s">
        <v>205</v>
      </c>
      <c r="H50" s="11" t="s">
        <v>127</v>
      </c>
    </row>
    <row r="51" spans="1:11">
      <c r="A51" t="s">
        <v>30</v>
      </c>
      <c r="B51" s="9" t="s">
        <v>206</v>
      </c>
      <c r="E51" s="15"/>
      <c r="F51" s="15"/>
      <c r="G51" s="15"/>
      <c r="H51" s="15"/>
    </row>
    <row r="52" spans="1:11">
      <c r="C52" s="10" t="s">
        <v>117</v>
      </c>
      <c r="D52" s="10" t="s">
        <v>118</v>
      </c>
      <c r="E52" s="10" t="s">
        <v>86</v>
      </c>
      <c r="F52" s="10" t="s">
        <v>119</v>
      </c>
      <c r="G52" s="10" t="s">
        <v>120</v>
      </c>
      <c r="H52" s="10" t="s">
        <v>121</v>
      </c>
    </row>
    <row r="53" ht="30" customHeight="1" spans="1:11">
      <c r="C53" s="11" t="s">
        <v>207</v>
      </c>
      <c r="D53" s="11" t="s">
        <v>208</v>
      </c>
      <c r="E53" s="11" t="s">
        <v>209</v>
      </c>
      <c r="F53" s="11" t="s">
        <v>210</v>
      </c>
      <c r="G53" s="11" t="s">
        <v>211</v>
      </c>
      <c r="H53" s="11" t="s">
        <v>127</v>
      </c>
    </row>
    <row r="54" ht="45" spans="1:11">
      <c r="C54" s="11" t="s">
        <v>212</v>
      </c>
      <c r="D54" s="11" t="s">
        <v>208</v>
      </c>
      <c r="E54" s="11" t="s">
        <v>213</v>
      </c>
      <c r="F54" s="11" t="s">
        <v>214</v>
      </c>
      <c r="G54" s="11" t="s">
        <v>215</v>
      </c>
      <c r="H54" s="11" t="s">
        <v>127</v>
      </c>
    </row>
    <row r="55" spans="1:11">
      <c r="A55" t="s">
        <v>79</v>
      </c>
      <c r="B55" s="9" t="s">
        <v>216</v>
      </c>
      <c r="E55" s="16"/>
      <c r="F55" s="16"/>
      <c r="G55" s="16"/>
      <c r="H55" s="16"/>
    </row>
    <row r="56" spans="1:11">
      <c r="A56" t="s">
        <v>14</v>
      </c>
      <c r="B56" s="9" t="s">
        <v>217</v>
      </c>
      <c r="E56" s="16"/>
      <c r="F56" s="16"/>
      <c r="G56" s="16"/>
      <c r="H56" s="16"/>
    </row>
    <row r="57" spans="1:11">
      <c r="C57" s="10" t="s">
        <v>117</v>
      </c>
      <c r="D57" s="10" t="s">
        <v>118</v>
      </c>
      <c r="E57" s="10" t="s">
        <v>86</v>
      </c>
      <c r="F57" s="10" t="s">
        <v>119</v>
      </c>
      <c r="G57" s="10" t="s">
        <v>120</v>
      </c>
      <c r="H57" s="10" t="s">
        <v>121</v>
      </c>
      <c r="I57" s="17" t="s">
        <v>218</v>
      </c>
      <c r="J57" s="17" t="s">
        <v>219</v>
      </c>
      <c r="K57" s="17" t="s">
        <v>220</v>
      </c>
    </row>
    <row r="58" ht="47" customHeight="1" spans="1:11">
      <c r="C58" s="11" t="s">
        <v>221</v>
      </c>
      <c r="D58" s="11" t="s">
        <v>222</v>
      </c>
      <c r="E58" s="11" t="s">
        <v>223</v>
      </c>
      <c r="F58" s="11" t="s">
        <v>224</v>
      </c>
      <c r="G58" s="11" t="s">
        <v>225</v>
      </c>
      <c r="H58" s="11" t="s">
        <v>158</v>
      </c>
      <c r="I58" s="11" t="s">
        <v>226</v>
      </c>
      <c r="J58" s="11" t="s">
        <v>227</v>
      </c>
      <c r="K58" s="18" t="s">
        <v>228</v>
      </c>
    </row>
    <row r="59" ht="30" customHeight="1" spans="1:11">
      <c r="C59" s="11" t="s">
        <v>229</v>
      </c>
      <c r="D59" s="11" t="s">
        <v>230</v>
      </c>
      <c r="E59" s="11" t="s">
        <v>231</v>
      </c>
      <c r="F59" s="11" t="s">
        <v>230</v>
      </c>
      <c r="G59" s="11" t="s">
        <v>232</v>
      </c>
      <c r="H59" s="11" t="s">
        <v>158</v>
      </c>
      <c r="I59" s="11" t="s">
        <v>233</v>
      </c>
      <c r="J59" s="11" t="s">
        <v>234</v>
      </c>
      <c r="K59" s="18" t="s">
        <v>228</v>
      </c>
    </row>
    <row r="60" spans="1:11">
      <c r="A60" t="s">
        <v>17</v>
      </c>
      <c r="B60" s="9" t="s">
        <v>235</v>
      </c>
      <c r="E60"/>
      <c r="F60"/>
      <c r="G60"/>
    </row>
    <row r="61" spans="1:11">
      <c r="C61" s="10" t="s">
        <v>117</v>
      </c>
      <c r="D61" s="10" t="s">
        <v>118</v>
      </c>
      <c r="E61" s="10" t="s">
        <v>86</v>
      </c>
      <c r="F61" s="10" t="s">
        <v>119</v>
      </c>
      <c r="G61" s="10" t="s">
        <v>120</v>
      </c>
      <c r="H61" s="10" t="s">
        <v>121</v>
      </c>
      <c r="I61" s="19" t="s">
        <v>218</v>
      </c>
      <c r="J61" s="19" t="s">
        <v>219</v>
      </c>
      <c r="K61" s="17" t="s">
        <v>220</v>
      </c>
    </row>
    <row r="62" s="1" customFormat="1" ht="170" customHeight="1" spans="1:11">
      <c r="A62" s="20"/>
      <c r="C62" s="21" t="s">
        <v>236</v>
      </c>
      <c r="D62" s="21" t="s">
        <v>237</v>
      </c>
      <c r="E62" s="21" t="s">
        <v>238</v>
      </c>
      <c r="F62" s="21" t="s">
        <v>239</v>
      </c>
      <c r="G62" s="22" t="s">
        <v>240</v>
      </c>
      <c r="H62" s="21" t="s">
        <v>241</v>
      </c>
      <c r="I62" s="21" t="s">
        <v>242</v>
      </c>
      <c r="J62" s="21" t="s">
        <v>243</v>
      </c>
      <c r="K62" s="23" t="s">
        <v>244</v>
      </c>
    </row>
    <row r="63" ht="30" customHeight="1" spans="1:11">
      <c r="C63" s="11" t="s">
        <v>245</v>
      </c>
      <c r="D63" s="11" t="s">
        <v>237</v>
      </c>
      <c r="E63" s="11" t="s">
        <v>246</v>
      </c>
      <c r="F63" s="11" t="s">
        <v>148</v>
      </c>
      <c r="G63" s="11" t="s">
        <v>247</v>
      </c>
      <c r="H63" s="11" t="s">
        <v>158</v>
      </c>
      <c r="I63" s="11" t="s">
        <v>248</v>
      </c>
      <c r="J63" s="11" t="s">
        <v>249</v>
      </c>
      <c r="K63" s="18" t="s">
        <v>244</v>
      </c>
    </row>
    <row r="64" ht="57" customHeight="1" spans="1:11">
      <c r="C64" s="11" t="s">
        <v>250</v>
      </c>
      <c r="D64" s="11" t="s">
        <v>237</v>
      </c>
      <c r="E64" s="11" t="s">
        <v>251</v>
      </c>
      <c r="F64" s="11" t="s">
        <v>252</v>
      </c>
      <c r="G64" s="11" t="s">
        <v>253</v>
      </c>
      <c r="H64" s="11" t="s">
        <v>254</v>
      </c>
      <c r="I64" s="11" t="s">
        <v>255</v>
      </c>
      <c r="J64" s="11" t="s">
        <v>243</v>
      </c>
      <c r="K64" s="18" t="s">
        <v>256</v>
      </c>
    </row>
    <row r="65" spans="5:10">
      <c r="E65" s="24"/>
      <c r="J65" s="13"/>
    </row>
    <row r="67" spans="5:10">
      <c r="F67"/>
    </row>
    <row r="68" spans="5:10">
      <c r="F68"/>
    </row>
    <row r="70" spans="5:10">
      <c r="F70" s="25"/>
    </row>
    <row r="71" spans="5:10">
      <c r="F71" s="25"/>
    </row>
  </sheetData>
  <mergeCells count="14">
    <mergeCell ref="D1:I1"/>
    <mergeCell ref="B11:J11"/>
    <mergeCell ref="B12:J12"/>
    <mergeCell ref="B13:J13"/>
    <mergeCell ref="B25:J25"/>
    <mergeCell ref="B27:C27"/>
    <mergeCell ref="B32:C32"/>
    <mergeCell ref="B36:C36"/>
    <mergeCell ref="B42:D42"/>
    <mergeCell ref="B43:D43"/>
    <mergeCell ref="B51:C51"/>
    <mergeCell ref="B55:D55"/>
    <mergeCell ref="B56:C56"/>
    <mergeCell ref="B60:C60"/>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SQA Report_Nhóm 8</vt:lpstr>
      <vt:lpstr>Dương Tất Trường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2026-04-09T15:12:00Z</dcterms:created>
  <dcterms:modified xsi:type="dcterms:W3CDTF">2026-04-22T16:11:44Z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1033-12.1.0.25242</vt:lpwstr>
  </property>
  <property fmtid="{D5CDD505-2E9C-101B-9397-08002B2CF9AE}" pid="3" name="CalculationRule">
    <vt:i4>0</vt:i4>
  </property>
  <property fmtid="{D5CDD505-2E9C-101B-9397-08002B2CF9AE}" pid="4" name="ICV">
    <vt:lpwstr>18A50DE709184EFAA736E6A2370BBD1E_13</vt:lpwstr>
  </property>
</Properties>
</file>